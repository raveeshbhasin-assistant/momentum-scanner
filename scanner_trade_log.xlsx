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Batch Analysis" sheetId="3" state="visible" r:id="rId3"/>
    <sheet xmlns:r="http://schemas.openxmlformats.org/officeDocument/2006/relationships" name="Indicator Stat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0">
    <numFmt numFmtId="164" formatCode="yyyy\-mm\-dd"/>
    <numFmt numFmtId="165" formatCode="\$#,##0.00"/>
    <numFmt numFmtId="166" formatCode="0.0\x"/>
    <numFmt numFmtId="167" formatCode="\$#,##0.00;&quot;($&quot;#,##0.00\);\-"/>
    <numFmt numFmtId="168" formatCode="0.00%;\(0.00%\);\-"/>
    <numFmt numFmtId="169" formatCode="0.0%"/>
    <numFmt numFmtId="170" formatCode="\$#,##0.00;&quot;($&quot;#,##0.00\)"/>
    <numFmt numFmtId="171" formatCode="0.00\x"/>
    <numFmt numFmtId="172" formatCode="0.0"/>
    <numFmt numFmtId="173" formatCode="0.00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276221"/>
      <sz val="10"/>
    </font>
    <font>
      <name val="Arial"/>
      <charset val="1"/>
      <family val="0"/>
      <color rgb="FF9C0006"/>
      <sz val="10"/>
    </font>
    <font>
      <name val="Arial"/>
      <charset val="1"/>
      <family val="0"/>
      <color rgb="FF555555"/>
      <sz val="10"/>
    </font>
    <font>
      <name val="Arial"/>
      <charset val="1"/>
      <family val="0"/>
      <b val="1"/>
      <color rgb="FF276221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555555"/>
      <sz val="10"/>
    </font>
  </fonts>
  <fills count="8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EEEEEE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CCCCCC"/>
      </patternFill>
    </fill>
    <fill>
      <patternFill patternType="solid">
        <fgColor rgb="FFEEEEEE"/>
        <bgColor rgb="FFEBF3FB"/>
      </patternFill>
    </fill>
    <fill>
      <patternFill patternType="solid">
        <fgColor rgb="FFD6E4F0"/>
        <bgColor rgb="FFEEEEE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7" fontId="8" fillId="3" borderId="1" applyAlignment="1" pivotButton="0" quotePrefix="0" xfId="0">
      <alignment horizontal="right" vertical="center"/>
    </xf>
    <xf numFmtId="168" fontId="8" fillId="3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170" fontId="5" fillId="3" borderId="1" applyAlignment="1" pivotButton="0" quotePrefix="0" xfId="0">
      <alignment horizontal="right" vertical="center"/>
    </xf>
    <xf numFmtId="171" fontId="5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left" vertical="center"/>
    </xf>
    <xf numFmtId="169" fontId="5" fillId="0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right" vertical="center"/>
    </xf>
    <xf numFmtId="171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" fontId="6" fillId="7" borderId="1" applyAlignment="1" pivotButton="0" quotePrefix="0" xfId="0">
      <alignment horizontal="center" vertical="center"/>
    </xf>
    <xf numFmtId="169" fontId="6" fillId="7" borderId="1" applyAlignment="1" pivotButton="0" quotePrefix="0" xfId="0">
      <alignment horizontal="center" vertical="center"/>
    </xf>
    <xf numFmtId="170" fontId="6" fillId="7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right" vertical="center"/>
    </xf>
    <xf numFmtId="172" fontId="5" fillId="3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72" fontId="5" fillId="0" borderId="1" applyAlignment="1" pivotButton="0" quotePrefix="0" xfId="0">
      <alignment horizontal="right" vertical="center"/>
    </xf>
    <xf numFmtId="173" fontId="5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7" fontId="7" fillId="3" borderId="1" applyAlignment="1" pivotButton="0" quotePrefix="0" xfId="0">
      <alignment horizontal="right" vertical="center"/>
    </xf>
    <xf numFmtId="168" fontId="7" fillId="3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7" fontId="8" fillId="0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  <xf numFmtId="167" fontId="8" fillId="3" borderId="1" applyAlignment="1" pivotButton="0" quotePrefix="0" xfId="0">
      <alignment horizontal="right" vertical="center"/>
    </xf>
    <xf numFmtId="168" fontId="8" fillId="3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168" fontId="7" fillId="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169" fontId="5" fillId="3" borderId="1" applyAlignment="1" pivotButton="0" quotePrefix="0" xfId="0">
      <alignment horizontal="center" vertical="center"/>
    </xf>
    <xf numFmtId="170" fontId="5" fillId="3" borderId="1" applyAlignment="1" pivotButton="0" quotePrefix="0" xfId="0">
      <alignment horizontal="right" vertical="center"/>
    </xf>
    <xf numFmtId="171" fontId="5" fillId="3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left" vertical="center"/>
    </xf>
    <xf numFmtId="169" fontId="5" fillId="0" borderId="1" applyAlignment="1" pivotButton="0" quotePrefix="0" xfId="0">
      <alignment horizontal="center" vertical="center"/>
    </xf>
    <xf numFmtId="170" fontId="5" fillId="0" borderId="1" applyAlignment="1" pivotButton="0" quotePrefix="0" xfId="0">
      <alignment horizontal="right" vertical="center"/>
    </xf>
    <xf numFmtId="171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" fontId="6" fillId="7" borderId="1" applyAlignment="1" pivotButton="0" quotePrefix="0" xfId="0">
      <alignment horizontal="center" vertical="center"/>
    </xf>
    <xf numFmtId="169" fontId="6" fillId="7" borderId="1" applyAlignment="1" pivotButton="0" quotePrefix="0" xfId="0">
      <alignment horizontal="center" vertical="center"/>
    </xf>
    <xf numFmtId="170" fontId="6" fillId="7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right" vertical="center"/>
    </xf>
    <xf numFmtId="172" fontId="5" fillId="3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72" fontId="5" fillId="0" borderId="1" applyAlignment="1" pivotButton="0" quotePrefix="0" xfId="0">
      <alignment horizontal="right" vertical="center"/>
    </xf>
    <xf numFmtId="173" fontId="5" fillId="3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EEE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ED7D31"/>
      <rgbColor rgb="FF555555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N2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2"/>
    <col width="8" customWidth="1" style="48" min="3" max="3"/>
    <col width="11" customWidth="1" style="48" min="4" max="4"/>
    <col width="10" customWidth="1" style="48" min="5" max="6"/>
    <col width="8" customWidth="1" style="48" min="7" max="7"/>
    <col width="7" customWidth="1" style="48" min="8" max="9"/>
    <col width="10" customWidth="1" style="48" min="10" max="10"/>
    <col width="11" customWidth="1" style="48" min="11" max="11"/>
    <col width="9" customWidth="1" style="48" min="12" max="13"/>
    <col width="13" customWidth="1" style="48" min="14" max="14"/>
  </cols>
  <sheetData>
    <row r="1" ht="30" customHeight="1" s="49">
      <c r="A1" s="50" t="inlineStr">
        <is>
          <t>Date</t>
        </is>
      </c>
      <c r="B1" s="50" t="inlineStr">
        <is>
          <t>Batch Time (ET)</t>
        </is>
      </c>
      <c r="C1" s="50" t="inlineStr">
        <is>
          <t>Ticker</t>
        </is>
      </c>
      <c r="D1" s="50" t="inlineStr">
        <is>
          <t>Entry Price</t>
        </is>
      </c>
      <c r="E1" s="50" t="inlineStr">
        <is>
          <t>Target</t>
        </is>
      </c>
      <c r="F1" s="50" t="inlineStr">
        <is>
          <t>Stop</t>
        </is>
      </c>
      <c r="G1" s="50" t="inlineStr">
        <is>
          <t>RVOL</t>
        </is>
      </c>
      <c r="H1" s="50" t="inlineStr">
        <is>
          <t>RSI</t>
        </is>
      </c>
      <c r="I1" s="50" t="inlineStr">
        <is>
          <t>Score</t>
        </is>
      </c>
      <c r="J1" s="50" t="inlineStr">
        <is>
          <t>Result</t>
        </is>
      </c>
      <c r="K1" s="50" t="inlineStr">
        <is>
          <t>Exit Price</t>
        </is>
      </c>
      <c r="L1" s="50" t="inlineStr">
        <is>
          <t>P&amp;L $</t>
        </is>
      </c>
      <c r="M1" s="50" t="inlineStr">
        <is>
          <t>P&amp;L %</t>
        </is>
      </c>
      <c r="N1" s="50" t="inlineStr">
        <is>
          <t>Appearance #</t>
        </is>
      </c>
    </row>
    <row r="2" ht="15" customHeight="1" s="49">
      <c r="A2" s="51" t="inlineStr">
        <is>
          <t>2026-04-15</t>
        </is>
      </c>
      <c r="B2" s="52" t="inlineStr">
        <is>
          <t>09:31</t>
        </is>
      </c>
      <c r="C2" s="53" t="inlineStr">
        <is>
          <t>MSFT</t>
        </is>
      </c>
      <c r="D2" s="54" t="n">
        <v>393.02</v>
      </c>
      <c r="E2" s="54" t="n">
        <v>395.44</v>
      </c>
      <c r="F2" s="54" t="n">
        <v>392.05</v>
      </c>
      <c r="G2" s="55" t="n">
        <v>4</v>
      </c>
      <c r="H2" s="56" t="n">
        <v>60</v>
      </c>
      <c r="I2" s="56" t="n">
        <v>75</v>
      </c>
      <c r="J2" s="57" t="inlineStr">
        <is>
          <t>WIN</t>
        </is>
      </c>
      <c r="K2" s="54" t="n">
        <v>395.44</v>
      </c>
      <c r="L2" s="58" t="n">
        <v>2.42</v>
      </c>
      <c r="M2" s="59" t="n">
        <v>0.00616</v>
      </c>
      <c r="N2" s="56" t="n">
        <v>1</v>
      </c>
    </row>
    <row r="3" ht="15" customHeight="1" s="49">
      <c r="A3" s="60" t="inlineStr">
        <is>
          <t>2026-04-15</t>
        </is>
      </c>
      <c r="B3" s="61" t="inlineStr">
        <is>
          <t>09:31</t>
        </is>
      </c>
      <c r="C3" s="62" t="inlineStr">
        <is>
          <t>GOOGL</t>
        </is>
      </c>
      <c r="D3" s="63" t="n">
        <v>332.94</v>
      </c>
      <c r="E3" s="63" t="n">
        <v>335.19</v>
      </c>
      <c r="F3" s="63" t="n">
        <v>332.04</v>
      </c>
      <c r="G3" s="64" t="n">
        <v>3.8</v>
      </c>
      <c r="H3" s="65" t="n">
        <v>61</v>
      </c>
      <c r="I3" s="65" t="n">
        <v>75</v>
      </c>
      <c r="J3" s="66" t="inlineStr">
        <is>
          <t>LOSS</t>
        </is>
      </c>
      <c r="K3" s="63" t="n">
        <v>332.04</v>
      </c>
      <c r="L3" s="67" t="n">
        <v>-0.9</v>
      </c>
      <c r="M3" s="68" t="n">
        <v>-0.0027</v>
      </c>
      <c r="N3" s="65" t="n">
        <v>1</v>
      </c>
    </row>
    <row r="4" ht="15" customHeight="1" s="49">
      <c r="A4" s="51" t="inlineStr">
        <is>
          <t>2026-04-15</t>
        </is>
      </c>
      <c r="B4" s="52" t="inlineStr">
        <is>
          <t>09:31</t>
        </is>
      </c>
      <c r="C4" s="53" t="inlineStr">
        <is>
          <t>DHR</t>
        </is>
      </c>
      <c r="D4" s="54" t="n">
        <v>198.6</v>
      </c>
      <c r="E4" s="54" t="n">
        <v>199.85</v>
      </c>
      <c r="F4" s="54" t="n">
        <v>198.1</v>
      </c>
      <c r="G4" s="55" t="n">
        <v>4.3</v>
      </c>
      <c r="H4" s="56" t="n">
        <v>55</v>
      </c>
      <c r="I4" s="56" t="n">
        <v>75</v>
      </c>
      <c r="J4" s="66" t="inlineStr">
        <is>
          <t>LOSS</t>
        </is>
      </c>
      <c r="K4" s="54" t="n">
        <v>198.1</v>
      </c>
      <c r="L4" s="69" t="n">
        <v>-0.5</v>
      </c>
      <c r="M4" s="70" t="n">
        <v>-0.00252</v>
      </c>
      <c r="N4" s="56" t="n">
        <v>1</v>
      </c>
    </row>
    <row r="5" ht="15" customHeight="1" s="49">
      <c r="A5" s="60" t="inlineStr">
        <is>
          <t>2026-04-15</t>
        </is>
      </c>
      <c r="B5" s="61" t="inlineStr">
        <is>
          <t>09:31</t>
        </is>
      </c>
      <c r="C5" s="62" t="inlineStr">
        <is>
          <t>BKNG</t>
        </is>
      </c>
      <c r="D5" s="63" t="n">
        <v>181.08</v>
      </c>
      <c r="E5" s="63" t="n">
        <v>182.8</v>
      </c>
      <c r="F5" s="63" t="n">
        <v>180.39</v>
      </c>
      <c r="G5" s="64" t="n">
        <v>4.7</v>
      </c>
      <c r="H5" s="65" t="n">
        <v>52</v>
      </c>
      <c r="I5" s="65" t="n">
        <v>75</v>
      </c>
      <c r="J5" s="57" t="inlineStr">
        <is>
          <t>WIN</t>
        </is>
      </c>
      <c r="K5" s="63" t="n">
        <v>182.8</v>
      </c>
      <c r="L5" s="71" t="n">
        <v>1.72</v>
      </c>
      <c r="M5" s="72" t="n">
        <v>0.0095</v>
      </c>
      <c r="N5" s="65" t="n">
        <v>1</v>
      </c>
    </row>
    <row r="6" ht="15" customHeight="1" s="49">
      <c r="A6" s="51" t="inlineStr">
        <is>
          <t>2026-04-15</t>
        </is>
      </c>
      <c r="B6" s="52" t="inlineStr">
        <is>
          <t>09:31</t>
        </is>
      </c>
      <c r="C6" s="53" t="inlineStr">
        <is>
          <t>LOW</t>
        </is>
      </c>
      <c r="D6" s="54" t="n">
        <v>248.39</v>
      </c>
      <c r="E6" s="54" t="n">
        <v>249.82</v>
      </c>
      <c r="F6" s="54" t="n">
        <v>247.82</v>
      </c>
      <c r="G6" s="55" t="n">
        <v>3.3</v>
      </c>
      <c r="H6" s="56" t="n">
        <v>69</v>
      </c>
      <c r="I6" s="56" t="n">
        <v>74</v>
      </c>
      <c r="J6" s="66" t="inlineStr">
        <is>
          <t>LOSS</t>
        </is>
      </c>
      <c r="K6" s="54" t="n">
        <v>247.82</v>
      </c>
      <c r="L6" s="69" t="n">
        <v>-0.57</v>
      </c>
      <c r="M6" s="70" t="n">
        <v>-0.0023</v>
      </c>
      <c r="N6" s="56" t="n">
        <v>1</v>
      </c>
    </row>
    <row r="7" ht="15" customHeight="1" s="49">
      <c r="A7" s="60" t="inlineStr">
        <is>
          <t>2026-04-15</t>
        </is>
      </c>
      <c r="B7" s="61" t="inlineStr">
        <is>
          <t>09:31</t>
        </is>
      </c>
      <c r="C7" s="62" t="inlineStr">
        <is>
          <t>AMD</t>
        </is>
      </c>
      <c r="D7" s="63" t="n">
        <v>255.06</v>
      </c>
      <c r="E7" s="63" t="n">
        <v>257.01</v>
      </c>
      <c r="F7" s="63" t="n">
        <v>254.28</v>
      </c>
      <c r="G7" s="64" t="n">
        <v>2.1</v>
      </c>
      <c r="H7" s="65" t="n">
        <v>67</v>
      </c>
      <c r="I7" s="65" t="n">
        <v>73</v>
      </c>
      <c r="J7" s="66" t="inlineStr">
        <is>
          <t>LOSS</t>
        </is>
      </c>
      <c r="K7" s="63" t="n">
        <v>254.28</v>
      </c>
      <c r="L7" s="67" t="n">
        <v>-0.78</v>
      </c>
      <c r="M7" s="68" t="n">
        <v>-0.00306</v>
      </c>
      <c r="N7" s="65" t="n">
        <v>1</v>
      </c>
    </row>
    <row r="8" ht="15" customHeight="1" s="49">
      <c r="A8" s="51" t="inlineStr">
        <is>
          <t>2026-04-15</t>
        </is>
      </c>
      <c r="B8" s="52" t="inlineStr">
        <is>
          <t>09:31</t>
        </is>
      </c>
      <c r="C8" s="53" t="inlineStr">
        <is>
          <t>NVDA</t>
        </is>
      </c>
      <c r="D8" s="54" t="n">
        <v>196.49</v>
      </c>
      <c r="E8" s="54" t="n">
        <v>197.92</v>
      </c>
      <c r="F8" s="54" t="n">
        <v>195.92</v>
      </c>
      <c r="G8" s="55" t="n">
        <v>3.7</v>
      </c>
      <c r="H8" s="56" t="n">
        <v>73</v>
      </c>
      <c r="I8" s="56" t="n">
        <v>72</v>
      </c>
      <c r="J8" s="57" t="inlineStr">
        <is>
          <t>WIN</t>
        </is>
      </c>
      <c r="K8" s="54" t="n">
        <v>197.92</v>
      </c>
      <c r="L8" s="58" t="n">
        <v>1.43</v>
      </c>
      <c r="M8" s="59" t="n">
        <v>0.00728</v>
      </c>
      <c r="N8" s="56" t="n">
        <v>1</v>
      </c>
    </row>
    <row r="9" ht="15" customHeight="1" s="49">
      <c r="A9" s="60" t="inlineStr">
        <is>
          <t>2026-04-15</t>
        </is>
      </c>
      <c r="B9" s="61" t="inlineStr">
        <is>
          <t>09:31</t>
        </is>
      </c>
      <c r="C9" s="62" t="inlineStr">
        <is>
          <t>SBUX</t>
        </is>
      </c>
      <c r="D9" s="63" t="n">
        <v>98.45999999999999</v>
      </c>
      <c r="E9" s="63" t="n">
        <v>99.08</v>
      </c>
      <c r="F9" s="63" t="n">
        <v>98.20999999999999</v>
      </c>
      <c r="G9" s="64" t="n">
        <v>5.1</v>
      </c>
      <c r="H9" s="65" t="n">
        <v>59</v>
      </c>
      <c r="I9" s="65" t="n">
        <v>71</v>
      </c>
      <c r="J9" s="66" t="inlineStr">
        <is>
          <t>LOSS</t>
        </is>
      </c>
      <c r="K9" s="63" t="n">
        <v>98.20999999999999</v>
      </c>
      <c r="L9" s="67" t="n">
        <v>-0.25</v>
      </c>
      <c r="M9" s="68" t="n">
        <v>-0.00254</v>
      </c>
      <c r="N9" s="65" t="n">
        <v>1</v>
      </c>
    </row>
    <row r="10" ht="15" customHeight="1" s="49">
      <c r="A10" s="51" t="inlineStr">
        <is>
          <t>2026-04-15</t>
        </is>
      </c>
      <c r="B10" s="52" t="inlineStr">
        <is>
          <t>09:31</t>
        </is>
      </c>
      <c r="C10" s="53" t="inlineStr">
        <is>
          <t>F</t>
        </is>
      </c>
      <c r="D10" s="54" t="n">
        <v>12.7</v>
      </c>
      <c r="E10" s="54" t="n">
        <v>12.8</v>
      </c>
      <c r="F10" s="54" t="n">
        <v>12.66</v>
      </c>
      <c r="G10" s="55" t="n">
        <v>6.9</v>
      </c>
      <c r="H10" s="56" t="n">
        <v>59</v>
      </c>
      <c r="I10" s="56" t="n">
        <v>71</v>
      </c>
      <c r="J10" s="66" t="inlineStr">
        <is>
          <t>LOSS</t>
        </is>
      </c>
      <c r="K10" s="54" t="n">
        <v>12.66</v>
      </c>
      <c r="L10" s="69" t="n">
        <v>-0.04</v>
      </c>
      <c r="M10" s="70" t="n">
        <v>-0.00315</v>
      </c>
      <c r="N10" s="56" t="n">
        <v>1</v>
      </c>
    </row>
    <row r="11" ht="15" customHeight="1" s="49">
      <c r="A11" s="60" t="inlineStr">
        <is>
          <t>2026-04-15</t>
        </is>
      </c>
      <c r="B11" s="61" t="inlineStr">
        <is>
          <t>09:31</t>
        </is>
      </c>
      <c r="C11" s="62" t="inlineStr">
        <is>
          <t>SOFI</t>
        </is>
      </c>
      <c r="D11" s="63" t="n">
        <v>17.92</v>
      </c>
      <c r="E11" s="63" t="n">
        <v>18.17</v>
      </c>
      <c r="F11" s="63" t="n">
        <v>17.82</v>
      </c>
      <c r="G11" s="64" t="n">
        <v>3.2</v>
      </c>
      <c r="H11" s="65" t="n">
        <v>62</v>
      </c>
      <c r="I11" s="65" t="n">
        <v>71</v>
      </c>
      <c r="J11" s="57" t="inlineStr">
        <is>
          <t>WIN</t>
        </is>
      </c>
      <c r="K11" s="63" t="n">
        <v>18.17</v>
      </c>
      <c r="L11" s="71" t="n">
        <v>0.25</v>
      </c>
      <c r="M11" s="72" t="n">
        <v>0.01395</v>
      </c>
      <c r="N11" s="65" t="n">
        <v>1</v>
      </c>
    </row>
    <row r="12" ht="15" customHeight="1" s="49">
      <c r="A12" s="51" t="inlineStr">
        <is>
          <t>2026-04-15</t>
        </is>
      </c>
      <c r="B12" s="52" t="inlineStr">
        <is>
          <t>10:01</t>
        </is>
      </c>
      <c r="C12" s="53" t="inlineStr">
        <is>
          <t>INTC</t>
        </is>
      </c>
      <c r="D12" s="54" t="n">
        <v>64.34</v>
      </c>
      <c r="E12" s="54" t="n">
        <v>66.09</v>
      </c>
      <c r="F12" s="54" t="n">
        <v>63.64</v>
      </c>
      <c r="G12" s="55" t="n">
        <v>1.6</v>
      </c>
      <c r="H12" s="56" t="n">
        <v>70</v>
      </c>
      <c r="I12" s="56" t="n">
        <v>68</v>
      </c>
      <c r="J12" s="66" t="inlineStr">
        <is>
          <t>LOSS</t>
        </is>
      </c>
      <c r="K12" s="54" t="n">
        <v>63.64</v>
      </c>
      <c r="L12" s="69" t="n">
        <v>-0.7</v>
      </c>
      <c r="M12" s="70" t="n">
        <v>-0.01088</v>
      </c>
      <c r="N12" s="56" t="n">
        <v>1</v>
      </c>
    </row>
    <row r="13" ht="15" customHeight="1" s="49">
      <c r="A13" s="60" t="inlineStr">
        <is>
          <t>2026-04-15</t>
        </is>
      </c>
      <c r="B13" s="61" t="inlineStr">
        <is>
          <t>10:01</t>
        </is>
      </c>
      <c r="C13" s="62" t="inlineStr">
        <is>
          <t>NET</t>
        </is>
      </c>
      <c r="D13" s="63" t="n">
        <v>185.38</v>
      </c>
      <c r="E13" s="63" t="n">
        <v>191.68</v>
      </c>
      <c r="F13" s="63" t="n">
        <v>182.86</v>
      </c>
      <c r="G13" s="64" t="n">
        <v>1.7</v>
      </c>
      <c r="H13" s="65" t="n">
        <v>74</v>
      </c>
      <c r="I13" s="65" t="n">
        <v>63</v>
      </c>
      <c r="J13" s="73" t="inlineStr">
        <is>
          <t>EOD</t>
        </is>
      </c>
      <c r="K13" s="63" t="n">
        <v>190.19</v>
      </c>
      <c r="L13" s="71" t="n">
        <v>4.81</v>
      </c>
      <c r="M13" s="72" t="n">
        <v>0.02595</v>
      </c>
      <c r="N13" s="65" t="n">
        <v>1</v>
      </c>
    </row>
    <row r="14" ht="15" customHeight="1" s="49">
      <c r="A14" s="51" t="inlineStr">
        <is>
          <t>2026-04-15</t>
        </is>
      </c>
      <c r="B14" s="52" t="inlineStr">
        <is>
          <t>10:01</t>
        </is>
      </c>
      <c r="C14" s="53" t="inlineStr">
        <is>
          <t>ISRG</t>
        </is>
      </c>
      <c r="D14" s="54" t="n">
        <v>472.28</v>
      </c>
      <c r="E14" s="54" t="n">
        <v>478.88</v>
      </c>
      <c r="F14" s="54" t="n">
        <v>469.64</v>
      </c>
      <c r="G14" s="55" t="n">
        <v>2.1</v>
      </c>
      <c r="H14" s="56" t="n">
        <v>63</v>
      </c>
      <c r="I14" s="56" t="n">
        <v>60</v>
      </c>
      <c r="J14" s="66" t="inlineStr">
        <is>
          <t>LOSS</t>
        </is>
      </c>
      <c r="K14" s="54" t="n">
        <v>469.64</v>
      </c>
      <c r="L14" s="69" t="n">
        <v>-2.64</v>
      </c>
      <c r="M14" s="70" t="n">
        <v>-0.00559</v>
      </c>
      <c r="N14" s="56" t="n">
        <v>1</v>
      </c>
    </row>
    <row r="15" ht="15" customHeight="1" s="49">
      <c r="A15" s="60" t="inlineStr">
        <is>
          <t>2026-04-15</t>
        </is>
      </c>
      <c r="B15" s="61" t="inlineStr">
        <is>
          <t>10:31</t>
        </is>
      </c>
      <c r="C15" s="62" t="inlineStr">
        <is>
          <t>NKE</t>
        </is>
      </c>
      <c r="D15" s="63" t="n">
        <v>45.35</v>
      </c>
      <c r="E15" s="63" t="n">
        <v>46.25</v>
      </c>
      <c r="F15" s="63" t="n">
        <v>44.99</v>
      </c>
      <c r="G15" s="64" t="n">
        <v>1.7</v>
      </c>
      <c r="H15" s="65" t="n">
        <v>70</v>
      </c>
      <c r="I15" s="65" t="n">
        <v>68</v>
      </c>
      <c r="J15" s="73" t="inlineStr">
        <is>
          <t>EOD</t>
        </is>
      </c>
      <c r="K15" s="63" t="n">
        <v>45.46</v>
      </c>
      <c r="L15" s="71" t="n">
        <v>0.11</v>
      </c>
      <c r="M15" s="72" t="n">
        <v>0.00243</v>
      </c>
      <c r="N15" s="65" t="n">
        <v>1</v>
      </c>
    </row>
    <row r="16" ht="15" customHeight="1" s="49">
      <c r="A16" s="51" t="inlineStr">
        <is>
          <t>2026-04-15</t>
        </is>
      </c>
      <c r="B16" s="52" t="inlineStr">
        <is>
          <t>10:31</t>
        </is>
      </c>
      <c r="C16" s="53" t="inlineStr">
        <is>
          <t>QCOM</t>
        </is>
      </c>
      <c r="D16" s="54" t="n">
        <v>133.43</v>
      </c>
      <c r="E16" s="54" t="n">
        <v>134.9</v>
      </c>
      <c r="F16" s="54" t="n">
        <v>132.84</v>
      </c>
      <c r="G16" s="55" t="n">
        <v>1.6</v>
      </c>
      <c r="H16" s="56" t="n">
        <v>64</v>
      </c>
      <c r="I16" s="56" t="n">
        <v>66</v>
      </c>
      <c r="J16" s="66" t="inlineStr">
        <is>
          <t>LOSS</t>
        </is>
      </c>
      <c r="K16" s="54" t="n">
        <v>132.84</v>
      </c>
      <c r="L16" s="69" t="n">
        <v>-0.59</v>
      </c>
      <c r="M16" s="70" t="n">
        <v>-0.00442</v>
      </c>
      <c r="N16" s="56" t="n">
        <v>1</v>
      </c>
    </row>
    <row r="17" ht="15" customHeight="1" s="49">
      <c r="A17" s="60" t="inlineStr">
        <is>
          <t>2026-04-15</t>
        </is>
      </c>
      <c r="B17" s="61" t="inlineStr">
        <is>
          <t>10:31</t>
        </is>
      </c>
      <c r="C17" s="62" t="inlineStr">
        <is>
          <t>ICE</t>
        </is>
      </c>
      <c r="D17" s="63" t="n">
        <v>164.63</v>
      </c>
      <c r="E17" s="63" t="n">
        <v>166.56</v>
      </c>
      <c r="F17" s="63" t="n">
        <v>163.86</v>
      </c>
      <c r="G17" s="64" t="n">
        <v>1.6</v>
      </c>
      <c r="H17" s="65" t="n">
        <v>76</v>
      </c>
      <c r="I17" s="65" t="n">
        <v>66</v>
      </c>
      <c r="J17" s="66" t="inlineStr">
        <is>
          <t>LOSS</t>
        </is>
      </c>
      <c r="K17" s="63" t="n">
        <v>163.86</v>
      </c>
      <c r="L17" s="67" t="n">
        <v>-0.77</v>
      </c>
      <c r="M17" s="68" t="n">
        <v>-0.00468</v>
      </c>
      <c r="N17" s="65" t="n">
        <v>1</v>
      </c>
    </row>
    <row r="18" ht="15" customHeight="1" s="49">
      <c r="A18" s="51" t="inlineStr">
        <is>
          <t>2026-04-15</t>
        </is>
      </c>
      <c r="B18" s="52" t="inlineStr">
        <is>
          <t>10:31</t>
        </is>
      </c>
      <c r="C18" s="53" t="inlineStr">
        <is>
          <t>DKNG</t>
        </is>
      </c>
      <c r="D18" s="54" t="n">
        <v>23.56</v>
      </c>
      <c r="E18" s="54" t="n">
        <v>24.18</v>
      </c>
      <c r="F18" s="54" t="n">
        <v>23.31</v>
      </c>
      <c r="G18" s="55" t="n">
        <v>1.6</v>
      </c>
      <c r="H18" s="56" t="n">
        <v>62</v>
      </c>
      <c r="I18" s="56" t="n">
        <v>66</v>
      </c>
      <c r="J18" s="73" t="inlineStr">
        <is>
          <t>EOD</t>
        </is>
      </c>
      <c r="K18" s="54" t="n">
        <v>23.64</v>
      </c>
      <c r="L18" s="58" t="n">
        <v>0.08</v>
      </c>
      <c r="M18" s="59" t="n">
        <v>0.0034</v>
      </c>
      <c r="N18" s="56" t="n">
        <v>1</v>
      </c>
    </row>
    <row r="19" ht="15" customHeight="1" s="49">
      <c r="A19" s="60" t="inlineStr">
        <is>
          <t>2026-04-15</t>
        </is>
      </c>
      <c r="B19" s="61" t="inlineStr">
        <is>
          <t>10:31</t>
        </is>
      </c>
      <c r="C19" s="62" t="inlineStr">
        <is>
          <t>HOOD</t>
        </is>
      </c>
      <c r="D19" s="63" t="n">
        <v>85.84</v>
      </c>
      <c r="E19" s="63" t="n">
        <v>89.29000000000001</v>
      </c>
      <c r="F19" s="63" t="n">
        <v>84.45999999999999</v>
      </c>
      <c r="G19" s="64" t="n">
        <v>2</v>
      </c>
      <c r="H19" s="65" t="n">
        <v>80</v>
      </c>
      <c r="I19" s="65" t="n">
        <v>63</v>
      </c>
      <c r="J19" s="73" t="inlineStr">
        <is>
          <t>EOD</t>
        </is>
      </c>
      <c r="K19" s="63" t="n">
        <v>87.39</v>
      </c>
      <c r="L19" s="71" t="n">
        <v>1.55</v>
      </c>
      <c r="M19" s="72" t="n">
        <v>0.01807</v>
      </c>
      <c r="N19" s="65" t="n">
        <v>1</v>
      </c>
    </row>
    <row r="20" ht="15" customHeight="1" s="49">
      <c r="A20" s="51" t="inlineStr">
        <is>
          <t>2026-04-15</t>
        </is>
      </c>
      <c r="B20" s="52" t="inlineStr">
        <is>
          <t>10:31</t>
        </is>
      </c>
      <c r="C20" s="53" t="inlineStr">
        <is>
          <t>UBER</t>
        </is>
      </c>
      <c r="D20" s="54" t="n">
        <v>76.68000000000001</v>
      </c>
      <c r="E20" s="54" t="n">
        <v>78.13</v>
      </c>
      <c r="F20" s="54" t="n">
        <v>76.09999999999999</v>
      </c>
      <c r="G20" s="55" t="n">
        <v>2.2</v>
      </c>
      <c r="H20" s="56" t="n">
        <v>90</v>
      </c>
      <c r="I20" s="56" t="n">
        <v>63</v>
      </c>
      <c r="J20" s="66" t="inlineStr">
        <is>
          <t>LOSS</t>
        </is>
      </c>
      <c r="K20" s="54" t="n">
        <v>76.09999999999999</v>
      </c>
      <c r="L20" s="69" t="n">
        <v>-0.58</v>
      </c>
      <c r="M20" s="70" t="n">
        <v>-0.00756</v>
      </c>
      <c r="N20" s="56" t="n">
        <v>1</v>
      </c>
    </row>
    <row r="21" ht="15" customHeight="1" s="49">
      <c r="A21" s="60" t="inlineStr">
        <is>
          <t>2026-04-15</t>
        </is>
      </c>
      <c r="B21" s="61" t="inlineStr">
        <is>
          <t>10:31</t>
        </is>
      </c>
      <c r="C21" s="62" t="inlineStr">
        <is>
          <t>SNAP</t>
        </is>
      </c>
      <c r="D21" s="63" t="n">
        <v>6.03</v>
      </c>
      <c r="E21" s="63" t="n">
        <v>6.36</v>
      </c>
      <c r="F21" s="63" t="n">
        <v>5.9</v>
      </c>
      <c r="G21" s="64" t="n">
        <v>2.6</v>
      </c>
      <c r="H21" s="65" t="n">
        <v>75</v>
      </c>
      <c r="I21" s="65" t="n">
        <v>60</v>
      </c>
      <c r="J21" s="66" t="inlineStr">
        <is>
          <t>LOSS</t>
        </is>
      </c>
      <c r="K21" s="63" t="n">
        <v>5.9</v>
      </c>
      <c r="L21" s="67" t="n">
        <v>-0.13</v>
      </c>
      <c r="M21" s="68" t="n">
        <v>-0.02156</v>
      </c>
      <c r="N21" s="65" t="n">
        <v>1</v>
      </c>
    </row>
    <row r="22" ht="15" customHeight="1" s="49">
      <c r="A22" s="51" t="inlineStr">
        <is>
          <t>2026-04-15</t>
        </is>
      </c>
      <c r="B22" s="52" t="inlineStr">
        <is>
          <t>11:01</t>
        </is>
      </c>
      <c r="C22" s="53" t="inlineStr">
        <is>
          <t>PNC</t>
        </is>
      </c>
      <c r="D22" s="54" t="n">
        <v>224.33</v>
      </c>
      <c r="E22" s="54" t="n">
        <v>229.33</v>
      </c>
      <c r="F22" s="54" t="n">
        <v>222.33</v>
      </c>
      <c r="G22" s="55" t="n">
        <v>2.2</v>
      </c>
      <c r="H22" s="56" t="n">
        <v>63</v>
      </c>
      <c r="I22" s="56" t="n">
        <v>72</v>
      </c>
      <c r="J22" s="66" t="inlineStr">
        <is>
          <t>LOSS</t>
        </is>
      </c>
      <c r="K22" s="54" t="n">
        <v>222.33</v>
      </c>
      <c r="L22" s="69" t="n">
        <v>-2</v>
      </c>
      <c r="M22" s="70" t="n">
        <v>-0.008920000000000001</v>
      </c>
      <c r="N22" s="56" t="n">
        <v>1</v>
      </c>
    </row>
    <row r="23" ht="15" customHeight="1" s="49">
      <c r="A23" s="60" t="inlineStr">
        <is>
          <t>2026-04-15</t>
        </is>
      </c>
      <c r="B23" s="61" t="inlineStr">
        <is>
          <t>11:01</t>
        </is>
      </c>
      <c r="C23" s="62" t="inlineStr">
        <is>
          <t>DKNG</t>
        </is>
      </c>
      <c r="D23" s="63" t="n">
        <v>23.86</v>
      </c>
      <c r="E23" s="63" t="n">
        <v>24.46</v>
      </c>
      <c r="F23" s="63" t="n">
        <v>23.62</v>
      </c>
      <c r="G23" s="64" t="n">
        <v>2</v>
      </c>
      <c r="H23" s="65" t="n">
        <v>70</v>
      </c>
      <c r="I23" s="65" t="n">
        <v>72</v>
      </c>
      <c r="J23" s="66" t="inlineStr">
        <is>
          <t>LOSS</t>
        </is>
      </c>
      <c r="K23" s="63" t="n">
        <v>23.62</v>
      </c>
      <c r="L23" s="67" t="n">
        <v>-0.24</v>
      </c>
      <c r="M23" s="68" t="n">
        <v>-0.01006</v>
      </c>
      <c r="N23" s="65" t="n">
        <v>2</v>
      </c>
    </row>
    <row r="24" ht="15" customHeight="1" s="49">
      <c r="A24" s="51" t="inlineStr">
        <is>
          <t>2026-04-15</t>
        </is>
      </c>
      <c r="B24" s="52" t="inlineStr">
        <is>
          <t>11:01</t>
        </is>
      </c>
      <c r="C24" s="53" t="inlineStr">
        <is>
          <t>NET</t>
        </is>
      </c>
      <c r="D24" s="54" t="n">
        <v>188.95</v>
      </c>
      <c r="E24" s="54" t="n">
        <v>194.48</v>
      </c>
      <c r="F24" s="54" t="n">
        <v>186.74</v>
      </c>
      <c r="G24" s="55" t="n">
        <v>1.4</v>
      </c>
      <c r="H24" s="56" t="n">
        <v>73</v>
      </c>
      <c r="I24" s="56" t="n">
        <v>70</v>
      </c>
      <c r="J24" s="73" t="inlineStr">
        <is>
          <t>EOD</t>
        </is>
      </c>
      <c r="K24" s="54" t="n">
        <v>190.19</v>
      </c>
      <c r="L24" s="58" t="n">
        <v>1.24</v>
      </c>
      <c r="M24" s="59" t="n">
        <v>0.00656</v>
      </c>
      <c r="N24" s="56" t="n">
        <v>2</v>
      </c>
    </row>
    <row r="25" ht="15" customHeight="1" s="49">
      <c r="A25" s="60" t="inlineStr">
        <is>
          <t>2026-04-15</t>
        </is>
      </c>
      <c r="B25" s="61" t="inlineStr">
        <is>
          <t>11:01</t>
        </is>
      </c>
      <c r="C25" s="62" t="inlineStr">
        <is>
          <t>TSLA</t>
        </is>
      </c>
      <c r="D25" s="63" t="n">
        <v>381.72</v>
      </c>
      <c r="E25" s="63" t="n">
        <v>389.77</v>
      </c>
      <c r="F25" s="63" t="n">
        <v>378.5</v>
      </c>
      <c r="G25" s="64" t="n">
        <v>2.9</v>
      </c>
      <c r="H25" s="65" t="n">
        <v>86</v>
      </c>
      <c r="I25" s="65" t="n">
        <v>62</v>
      </c>
      <c r="J25" s="57" t="inlineStr">
        <is>
          <t>WIN</t>
        </is>
      </c>
      <c r="K25" s="63" t="n">
        <v>389.77</v>
      </c>
      <c r="L25" s="71" t="n">
        <v>8.050000000000001</v>
      </c>
      <c r="M25" s="72" t="n">
        <v>0.02109</v>
      </c>
      <c r="N25" s="65" t="n">
        <v>1</v>
      </c>
    </row>
    <row r="26" ht="15" customHeight="1" s="49">
      <c r="A26" s="51" t="inlineStr">
        <is>
          <t>2026-04-15</t>
        </is>
      </c>
      <c r="B26" s="52" t="inlineStr">
        <is>
          <t>11:31</t>
        </is>
      </c>
      <c r="C26" s="53" t="inlineStr">
        <is>
          <t>ADP</t>
        </is>
      </c>
      <c r="D26" s="54" t="n">
        <v>197.13</v>
      </c>
      <c r="E26" s="54" t="n">
        <v>199.73</v>
      </c>
      <c r="F26" s="54" t="n">
        <v>196.09</v>
      </c>
      <c r="G26" s="55" t="n">
        <v>2.5</v>
      </c>
      <c r="H26" s="56" t="n">
        <v>63</v>
      </c>
      <c r="I26" s="56" t="n">
        <v>73</v>
      </c>
      <c r="J26" s="73" t="inlineStr">
        <is>
          <t>EOD</t>
        </is>
      </c>
      <c r="K26" s="54" t="n">
        <v>196.91</v>
      </c>
      <c r="L26" s="69" t="n">
        <v>-0.22</v>
      </c>
      <c r="M26" s="70" t="n">
        <v>-0.00112</v>
      </c>
      <c r="N26" s="56" t="n">
        <v>1</v>
      </c>
    </row>
    <row r="27" ht="15" customHeight="1" s="49">
      <c r="A27" s="60" t="inlineStr">
        <is>
          <t>2026-04-15</t>
        </is>
      </c>
      <c r="B27" s="61" t="inlineStr">
        <is>
          <t>11:31</t>
        </is>
      </c>
      <c r="C27" s="62" t="inlineStr">
        <is>
          <t>AVGO</t>
        </is>
      </c>
      <c r="D27" s="63" t="n">
        <v>394.08</v>
      </c>
      <c r="E27" s="63" t="n">
        <v>400.91</v>
      </c>
      <c r="F27" s="63" t="n">
        <v>391.35</v>
      </c>
      <c r="G27" s="64" t="n">
        <v>1.6</v>
      </c>
      <c r="H27" s="65" t="n">
        <v>60</v>
      </c>
      <c r="I27" s="65" t="n">
        <v>71</v>
      </c>
      <c r="J27" s="66" t="inlineStr">
        <is>
          <t>LOSS</t>
        </is>
      </c>
      <c r="K27" s="63" t="n">
        <v>391.35</v>
      </c>
      <c r="L27" s="67" t="n">
        <v>-2.73</v>
      </c>
      <c r="M27" s="68" t="n">
        <v>-0.00693</v>
      </c>
      <c r="N27" s="65" t="n">
        <v>1</v>
      </c>
    </row>
    <row r="28" ht="15" customHeight="1" s="49">
      <c r="A28" s="51" t="inlineStr">
        <is>
          <t>2026-04-15</t>
        </is>
      </c>
      <c r="B28" s="52" t="inlineStr">
        <is>
          <t>11:31</t>
        </is>
      </c>
      <c r="C28" s="53" t="inlineStr">
        <is>
          <t>COIN</t>
        </is>
      </c>
      <c r="D28" s="54" t="n">
        <v>192.58</v>
      </c>
      <c r="E28" s="54" t="n">
        <v>198.93</v>
      </c>
      <c r="F28" s="54" t="n">
        <v>189.99</v>
      </c>
      <c r="G28" s="55" t="n">
        <v>2.2</v>
      </c>
      <c r="H28" s="56" t="n">
        <v>79</v>
      </c>
      <c r="I28" s="56" t="n">
        <v>68</v>
      </c>
      <c r="J28" s="66" t="inlineStr">
        <is>
          <t>LOSS</t>
        </is>
      </c>
      <c r="K28" s="54" t="n">
        <v>189.99</v>
      </c>
      <c r="L28" s="69" t="n">
        <v>-2.59</v>
      </c>
      <c r="M28" s="70" t="n">
        <v>-0.01345</v>
      </c>
      <c r="N28" s="56" t="n">
        <v>1</v>
      </c>
    </row>
    <row r="29" ht="15" customHeight="1" s="49">
      <c r="A29" s="60" t="inlineStr">
        <is>
          <t>2026-04-15</t>
        </is>
      </c>
      <c r="B29" s="61" t="inlineStr">
        <is>
          <t>11:31</t>
        </is>
      </c>
      <c r="C29" s="62" t="inlineStr">
        <is>
          <t>ABNB</t>
        </is>
      </c>
      <c r="D29" s="63" t="n">
        <v>140.12</v>
      </c>
      <c r="E29" s="63" t="n">
        <v>143.59</v>
      </c>
      <c r="F29" s="63" t="n">
        <v>138.72</v>
      </c>
      <c r="G29" s="64" t="n">
        <v>1.4</v>
      </c>
      <c r="H29" s="65" t="n">
        <v>69</v>
      </c>
      <c r="I29" s="65" t="n">
        <v>63</v>
      </c>
      <c r="J29" s="66" t="inlineStr">
        <is>
          <t>LOSS</t>
        </is>
      </c>
      <c r="K29" s="63" t="n">
        <v>138.72</v>
      </c>
      <c r="L29" s="67" t="n">
        <v>-1.4</v>
      </c>
      <c r="M29" s="68" t="n">
        <v>-0.009990000000000001</v>
      </c>
      <c r="N29" s="65" t="n">
        <v>1</v>
      </c>
    </row>
    <row r="30" ht="15" customHeight="1" s="49">
      <c r="A30" s="51" t="inlineStr">
        <is>
          <t>2026-04-15</t>
        </is>
      </c>
      <c r="B30" s="52" t="inlineStr">
        <is>
          <t>12:01</t>
        </is>
      </c>
      <c r="C30" s="53" t="inlineStr">
        <is>
          <t>COST</t>
        </is>
      </c>
      <c r="D30" s="54" t="n">
        <v>981.34</v>
      </c>
      <c r="E30" s="54" t="n">
        <v>986.28</v>
      </c>
      <c r="F30" s="54" t="n">
        <v>979.37</v>
      </c>
      <c r="G30" s="55" t="n">
        <v>2.4</v>
      </c>
      <c r="H30" s="56" t="n">
        <v>62</v>
      </c>
      <c r="I30" s="56" t="n">
        <v>75</v>
      </c>
      <c r="J30" s="66" t="inlineStr">
        <is>
          <t>LOSS</t>
        </is>
      </c>
      <c r="K30" s="54" t="n">
        <v>979.37</v>
      </c>
      <c r="L30" s="69" t="n">
        <v>-1.97</v>
      </c>
      <c r="M30" s="70" t="n">
        <v>-0.00201</v>
      </c>
      <c r="N30" s="56" t="n">
        <v>1</v>
      </c>
    </row>
    <row r="31" ht="15" customHeight="1" s="49">
      <c r="A31" s="60" t="inlineStr">
        <is>
          <t>2026-04-15</t>
        </is>
      </c>
      <c r="B31" s="61" t="inlineStr">
        <is>
          <t>12:01</t>
        </is>
      </c>
      <c r="C31" s="62" t="inlineStr">
        <is>
          <t>WMT</t>
        </is>
      </c>
      <c r="D31" s="63" t="n">
        <v>124.31</v>
      </c>
      <c r="E31" s="63" t="n">
        <v>126.06</v>
      </c>
      <c r="F31" s="63" t="n">
        <v>123.61</v>
      </c>
      <c r="G31" s="64" t="n">
        <v>2.2</v>
      </c>
      <c r="H31" s="65" t="n">
        <v>68</v>
      </c>
      <c r="I31" s="65" t="n">
        <v>71</v>
      </c>
      <c r="J31" s="73" t="inlineStr">
        <is>
          <t>EOD</t>
        </is>
      </c>
      <c r="K31" s="63" t="n">
        <v>124.75</v>
      </c>
      <c r="L31" s="71" t="n">
        <v>0.44</v>
      </c>
      <c r="M31" s="72" t="n">
        <v>0.00354</v>
      </c>
      <c r="N31" s="65" t="n">
        <v>1</v>
      </c>
    </row>
    <row r="32" ht="15" customHeight="1" s="49">
      <c r="A32" s="51" t="inlineStr">
        <is>
          <t>2026-04-15</t>
        </is>
      </c>
      <c r="B32" s="52" t="inlineStr">
        <is>
          <t>12:01</t>
        </is>
      </c>
      <c r="C32" s="53" t="inlineStr">
        <is>
          <t>DKNG</t>
        </is>
      </c>
      <c r="D32" s="54" t="n">
        <v>24.07</v>
      </c>
      <c r="E32" s="54" t="n">
        <v>24.69</v>
      </c>
      <c r="F32" s="54" t="n">
        <v>23.82</v>
      </c>
      <c r="G32" s="55" t="n">
        <v>2.6</v>
      </c>
      <c r="H32" s="56" t="n">
        <v>69</v>
      </c>
      <c r="I32" s="56" t="n">
        <v>68</v>
      </c>
      <c r="J32" s="66" t="inlineStr">
        <is>
          <t>LOSS</t>
        </is>
      </c>
      <c r="K32" s="54" t="n">
        <v>23.82</v>
      </c>
      <c r="L32" s="69" t="n">
        <v>-0.25</v>
      </c>
      <c r="M32" s="70" t="n">
        <v>-0.01038</v>
      </c>
      <c r="N32" s="56" t="n">
        <v>3</v>
      </c>
    </row>
    <row r="33" ht="15" customHeight="1" s="49">
      <c r="A33" s="60" t="inlineStr">
        <is>
          <t>2026-04-15</t>
        </is>
      </c>
      <c r="B33" s="61" t="inlineStr">
        <is>
          <t>12:01</t>
        </is>
      </c>
      <c r="C33" s="62" t="inlineStr">
        <is>
          <t>NOC</t>
        </is>
      </c>
      <c r="D33" s="63" t="n">
        <v>679.8200000000001</v>
      </c>
      <c r="E33" s="63" t="n">
        <v>686.14</v>
      </c>
      <c r="F33" s="63" t="n">
        <v>677.29</v>
      </c>
      <c r="G33" s="64" t="n">
        <v>1.4</v>
      </c>
      <c r="H33" s="65" t="n">
        <v>65</v>
      </c>
      <c r="I33" s="65" t="n">
        <v>64</v>
      </c>
      <c r="J33" s="73" t="inlineStr">
        <is>
          <t>EOD</t>
        </is>
      </c>
      <c r="K33" s="63" t="n">
        <v>678.51</v>
      </c>
      <c r="L33" s="67" t="n">
        <v>-1.31</v>
      </c>
      <c r="M33" s="68" t="n">
        <v>-0.00193</v>
      </c>
      <c r="N33" s="65" t="n">
        <v>1</v>
      </c>
    </row>
    <row r="34" ht="15" customHeight="1" s="49">
      <c r="A34" s="51" t="inlineStr">
        <is>
          <t>2026-04-15</t>
        </is>
      </c>
      <c r="B34" s="52" t="inlineStr">
        <is>
          <t>12:01</t>
        </is>
      </c>
      <c r="C34" s="53" t="inlineStr">
        <is>
          <t>SNOW</t>
        </is>
      </c>
      <c r="D34" s="54" t="n">
        <v>143.01</v>
      </c>
      <c r="E34" s="54" t="n">
        <v>147.69</v>
      </c>
      <c r="F34" s="54" t="n">
        <v>141.14</v>
      </c>
      <c r="G34" s="55" t="n">
        <v>1.4</v>
      </c>
      <c r="H34" s="56" t="n">
        <v>68</v>
      </c>
      <c r="I34" s="56" t="n">
        <v>63</v>
      </c>
      <c r="J34" s="66" t="inlineStr">
        <is>
          <t>LOSS</t>
        </is>
      </c>
      <c r="K34" s="54" t="n">
        <v>141.14</v>
      </c>
      <c r="L34" s="69" t="n">
        <v>-1.87</v>
      </c>
      <c r="M34" s="70" t="n">
        <v>-0.01308</v>
      </c>
      <c r="N34" s="56" t="n">
        <v>1</v>
      </c>
    </row>
    <row r="35" ht="15" customHeight="1" s="49">
      <c r="A35" s="60" t="inlineStr">
        <is>
          <t>2026-04-15</t>
        </is>
      </c>
      <c r="B35" s="61" t="inlineStr">
        <is>
          <t>12:31</t>
        </is>
      </c>
      <c r="C35" s="62" t="inlineStr">
        <is>
          <t>IBM</t>
        </is>
      </c>
      <c r="D35" s="63" t="n">
        <v>243.35</v>
      </c>
      <c r="E35" s="63" t="n">
        <v>246.22</v>
      </c>
      <c r="F35" s="63" t="n">
        <v>242.2</v>
      </c>
      <c r="G35" s="64" t="n">
        <v>1.5</v>
      </c>
      <c r="H35" s="65" t="n">
        <v>66</v>
      </c>
      <c r="I35" s="65" t="n">
        <v>78</v>
      </c>
      <c r="J35" s="73" t="inlineStr">
        <is>
          <t>EOD</t>
        </is>
      </c>
      <c r="K35" s="63" t="n">
        <v>244.81</v>
      </c>
      <c r="L35" s="71" t="n">
        <v>1.46</v>
      </c>
      <c r="M35" s="72" t="n">
        <v>0.006</v>
      </c>
      <c r="N35" s="65" t="n">
        <v>1</v>
      </c>
    </row>
    <row r="36" ht="15" customHeight="1" s="49">
      <c r="A36" s="51" t="inlineStr">
        <is>
          <t>2026-04-15</t>
        </is>
      </c>
      <c r="B36" s="52" t="inlineStr">
        <is>
          <t>13:01</t>
        </is>
      </c>
      <c r="C36" s="53" t="inlineStr">
        <is>
          <t>PLD</t>
        </is>
      </c>
      <c r="D36" s="54" t="n">
        <v>139.05</v>
      </c>
      <c r="E36" s="54" t="n">
        <v>140</v>
      </c>
      <c r="F36" s="54" t="n">
        <v>138.67</v>
      </c>
      <c r="G36" s="55" t="n">
        <v>2.6</v>
      </c>
      <c r="H36" s="56" t="n">
        <v>66</v>
      </c>
      <c r="I36" s="56" t="n">
        <v>72</v>
      </c>
      <c r="J36" s="57" t="inlineStr">
        <is>
          <t>WIN</t>
        </is>
      </c>
      <c r="K36" s="54" t="n">
        <v>140</v>
      </c>
      <c r="L36" s="58" t="n">
        <v>0.95</v>
      </c>
      <c r="M36" s="59" t="n">
        <v>0.00684</v>
      </c>
      <c r="N36" s="56" t="n">
        <v>1</v>
      </c>
    </row>
    <row r="37" ht="15" customHeight="1" s="49">
      <c r="A37" s="60" t="inlineStr">
        <is>
          <t>2026-04-15</t>
        </is>
      </c>
      <c r="B37" s="61" t="inlineStr">
        <is>
          <t>13:01</t>
        </is>
      </c>
      <c r="C37" s="62" t="inlineStr">
        <is>
          <t>SCHW</t>
        </is>
      </c>
      <c r="D37" s="63" t="n">
        <v>99.14</v>
      </c>
      <c r="E37" s="63" t="n">
        <v>99.81</v>
      </c>
      <c r="F37" s="63" t="n">
        <v>98.87</v>
      </c>
      <c r="G37" s="64" t="n">
        <v>1.5</v>
      </c>
      <c r="H37" s="65" t="n">
        <v>65</v>
      </c>
      <c r="I37" s="65" t="n">
        <v>71</v>
      </c>
      <c r="J37" s="57" t="inlineStr">
        <is>
          <t>WIN</t>
        </is>
      </c>
      <c r="K37" s="63" t="n">
        <v>99.81</v>
      </c>
      <c r="L37" s="71" t="n">
        <v>0.67</v>
      </c>
      <c r="M37" s="72" t="n">
        <v>0.00676</v>
      </c>
      <c r="N37" s="65" t="n">
        <v>1</v>
      </c>
    </row>
    <row r="38" ht="15" customHeight="1" s="49">
      <c r="A38" s="51" t="inlineStr">
        <is>
          <t>2026-04-15</t>
        </is>
      </c>
      <c r="B38" s="52" t="inlineStr">
        <is>
          <t>13:01</t>
        </is>
      </c>
      <c r="C38" s="53" t="inlineStr">
        <is>
          <t>BLK</t>
        </is>
      </c>
      <c r="D38" s="54" t="n">
        <v>1001.42</v>
      </c>
      <c r="E38" s="54" t="n">
        <v>1013.89</v>
      </c>
      <c r="F38" s="54" t="n">
        <v>996.4400000000001</v>
      </c>
      <c r="G38" s="55" t="n">
        <v>1.5</v>
      </c>
      <c r="H38" s="56" t="n">
        <v>66</v>
      </c>
      <c r="I38" s="56" t="n">
        <v>69</v>
      </c>
      <c r="J38" s="57" t="inlineStr">
        <is>
          <t>WIN</t>
        </is>
      </c>
      <c r="K38" s="54" t="n">
        <v>1013.89</v>
      </c>
      <c r="L38" s="58" t="n">
        <v>12.47</v>
      </c>
      <c r="M38" s="59" t="n">
        <v>0.01245</v>
      </c>
      <c r="N38" s="56" t="n">
        <v>1</v>
      </c>
    </row>
    <row r="39" ht="15" customHeight="1" s="49">
      <c r="A39" s="60" t="inlineStr">
        <is>
          <t>2026-04-15</t>
        </is>
      </c>
      <c r="B39" s="61" t="inlineStr">
        <is>
          <t>13:01</t>
        </is>
      </c>
      <c r="C39" s="62" t="inlineStr">
        <is>
          <t>ABT</t>
        </is>
      </c>
      <c r="D39" s="63" t="n">
        <v>126.28</v>
      </c>
      <c r="E39" s="63" t="n">
        <v>127.54</v>
      </c>
      <c r="F39" s="63" t="n">
        <v>125.77</v>
      </c>
      <c r="G39" s="64" t="n">
        <v>1.6</v>
      </c>
      <c r="H39" s="65" t="n">
        <v>63</v>
      </c>
      <c r="I39" s="65" t="n">
        <v>67</v>
      </c>
      <c r="J39" s="73" t="inlineStr">
        <is>
          <t>EOD</t>
        </is>
      </c>
      <c r="K39" s="63" t="n">
        <v>126.18</v>
      </c>
      <c r="L39" s="67" t="n">
        <v>-0.1</v>
      </c>
      <c r="M39" s="68" t="n">
        <v>-0.00079</v>
      </c>
      <c r="N39" s="65" t="n">
        <v>1</v>
      </c>
    </row>
    <row r="40" ht="15" customHeight="1" s="49">
      <c r="A40" s="51" t="inlineStr">
        <is>
          <t>2026-04-15</t>
        </is>
      </c>
      <c r="B40" s="52" t="inlineStr">
        <is>
          <t>13:31</t>
        </is>
      </c>
      <c r="C40" s="53" t="inlineStr">
        <is>
          <t>HON</t>
        </is>
      </c>
      <c r="D40" s="54" t="n">
        <v>217.22</v>
      </c>
      <c r="E40" s="54" t="n">
        <v>219.05</v>
      </c>
      <c r="F40" s="54" t="n">
        <v>216.49</v>
      </c>
      <c r="G40" s="55" t="n">
        <v>1.6</v>
      </c>
      <c r="H40" s="56" t="n">
        <v>61</v>
      </c>
      <c r="I40" s="56" t="n">
        <v>70</v>
      </c>
      <c r="J40" s="57" t="inlineStr">
        <is>
          <t>WIN</t>
        </is>
      </c>
      <c r="K40" s="54" t="n">
        <v>219.05</v>
      </c>
      <c r="L40" s="58" t="n">
        <v>1.83</v>
      </c>
      <c r="M40" s="59" t="n">
        <v>0.00843</v>
      </c>
      <c r="N40" s="56" t="n">
        <v>1</v>
      </c>
    </row>
    <row r="41" ht="15" customHeight="1" s="49">
      <c r="A41" s="60" t="inlineStr">
        <is>
          <t>2026-04-15</t>
        </is>
      </c>
      <c r="B41" s="61" t="inlineStr">
        <is>
          <t>14:01</t>
        </is>
      </c>
      <c r="C41" s="62" t="inlineStr">
        <is>
          <t>MMM</t>
        </is>
      </c>
      <c r="D41" s="63" t="n">
        <v>154.38</v>
      </c>
      <c r="E41" s="63" t="n">
        <v>155.78</v>
      </c>
      <c r="F41" s="63" t="n">
        <v>153.82</v>
      </c>
      <c r="G41" s="64" t="n">
        <v>1.5</v>
      </c>
      <c r="H41" s="65" t="n">
        <v>61</v>
      </c>
      <c r="I41" s="65" t="n">
        <v>76</v>
      </c>
      <c r="J41" s="73" t="inlineStr">
        <is>
          <t>EOD</t>
        </is>
      </c>
      <c r="K41" s="63" t="n">
        <v>154.38</v>
      </c>
      <c r="L41" s="71" t="n">
        <v>0</v>
      </c>
      <c r="M41" s="72" t="n">
        <v>0</v>
      </c>
      <c r="N41" s="65" t="n">
        <v>1</v>
      </c>
    </row>
    <row r="42" ht="15" customHeight="1" s="49">
      <c r="A42" s="51" t="inlineStr">
        <is>
          <t>2026-04-15</t>
        </is>
      </c>
      <c r="B42" s="52" t="inlineStr">
        <is>
          <t>14:01</t>
        </is>
      </c>
      <c r="C42" s="53" t="inlineStr">
        <is>
          <t>BA</t>
        </is>
      </c>
      <c r="D42" s="54" t="n">
        <v>220.84</v>
      </c>
      <c r="E42" s="54" t="n">
        <v>222.21</v>
      </c>
      <c r="F42" s="54" t="n">
        <v>220.29</v>
      </c>
      <c r="G42" s="55" t="n">
        <v>2.1</v>
      </c>
      <c r="H42" s="56" t="n">
        <v>65</v>
      </c>
      <c r="I42" s="56" t="n">
        <v>74</v>
      </c>
      <c r="J42" s="57" t="inlineStr">
        <is>
          <t>WIN</t>
        </is>
      </c>
      <c r="K42" s="54" t="n">
        <v>222.21</v>
      </c>
      <c r="L42" s="58" t="n">
        <v>1.37</v>
      </c>
      <c r="M42" s="59" t="n">
        <v>0.0062</v>
      </c>
      <c r="N42" s="56" t="n">
        <v>1</v>
      </c>
    </row>
    <row r="43" ht="15" customHeight="1" s="49">
      <c r="A43" s="60" t="inlineStr">
        <is>
          <t>2026-04-15</t>
        </is>
      </c>
      <c r="B43" s="61" t="inlineStr">
        <is>
          <t>14:31</t>
        </is>
      </c>
      <c r="C43" s="62" t="inlineStr">
        <is>
          <t>TMO</t>
        </is>
      </c>
      <c r="D43" s="63" t="n">
        <v>517.48</v>
      </c>
      <c r="E43" s="63" t="n">
        <v>523.9299999999999</v>
      </c>
      <c r="F43" s="63" t="n">
        <v>514.9</v>
      </c>
      <c r="G43" s="64" t="n">
        <v>1.5</v>
      </c>
      <c r="H43" s="65" t="n">
        <v>59</v>
      </c>
      <c r="I43" s="65" t="n">
        <v>62</v>
      </c>
      <c r="J43" s="57" t="inlineStr">
        <is>
          <t>WIN</t>
        </is>
      </c>
      <c r="K43" s="63" t="n">
        <v>523.9299999999999</v>
      </c>
      <c r="L43" s="71" t="n">
        <v>6.45</v>
      </c>
      <c r="M43" s="72" t="n">
        <v>0.01246</v>
      </c>
      <c r="N43" s="65" t="n">
        <v>1</v>
      </c>
    </row>
    <row r="44" ht="15" customHeight="1" s="49">
      <c r="A44" s="51" t="inlineStr">
        <is>
          <t>2026-04-15</t>
        </is>
      </c>
      <c r="B44" s="52" t="inlineStr">
        <is>
          <t>15:01</t>
        </is>
      </c>
      <c r="C44" s="53" t="inlineStr">
        <is>
          <t>USB</t>
        </is>
      </c>
      <c r="D44" s="54" t="n">
        <v>50.24</v>
      </c>
      <c r="E44" s="54" t="n">
        <v>50.75</v>
      </c>
      <c r="F44" s="54" t="n">
        <v>50.03</v>
      </c>
      <c r="G44" s="55" t="n">
        <v>1.8</v>
      </c>
      <c r="H44" s="56" t="n">
        <v>63</v>
      </c>
      <c r="I44" s="56" t="n">
        <v>62</v>
      </c>
      <c r="J44" s="57" t="inlineStr">
        <is>
          <t>WIN</t>
        </is>
      </c>
      <c r="K44" s="54" t="n">
        <v>50.75</v>
      </c>
      <c r="L44" s="58" t="n">
        <v>0.51</v>
      </c>
      <c r="M44" s="59" t="n">
        <v>0.01015</v>
      </c>
      <c r="N44" s="56" t="n">
        <v>1</v>
      </c>
    </row>
    <row r="45" ht="15" customHeight="1" s="49">
      <c r="A45" s="60" t="inlineStr">
        <is>
          <t>2026-04-15</t>
        </is>
      </c>
      <c r="B45" s="61" t="inlineStr">
        <is>
          <t>15:31</t>
        </is>
      </c>
      <c r="C45" s="62" t="inlineStr">
        <is>
          <t>PLD</t>
        </is>
      </c>
      <c r="D45" s="63" t="n">
        <v>139.05</v>
      </c>
      <c r="E45" s="63" t="n">
        <v>140</v>
      </c>
      <c r="F45" s="63" t="n">
        <v>138.67</v>
      </c>
      <c r="G45" s="64" t="n">
        <v>1.6</v>
      </c>
      <c r="H45" s="65" t="n">
        <v>67</v>
      </c>
      <c r="I45" s="65" t="n">
        <v>64</v>
      </c>
      <c r="J45" s="57" t="inlineStr">
        <is>
          <t>WIN</t>
        </is>
      </c>
      <c r="K45" s="63" t="n">
        <v>140</v>
      </c>
      <c r="L45" s="71" t="n">
        <v>0.95</v>
      </c>
      <c r="M45" s="72" t="n">
        <v>0.00684</v>
      </c>
      <c r="N45" s="65" t="n">
        <v>2</v>
      </c>
    </row>
    <row r="46" ht="15" customHeight="1" s="49">
      <c r="A46" s="51" t="inlineStr">
        <is>
          <t>2026-04-16</t>
        </is>
      </c>
      <c r="B46" s="52" t="inlineStr">
        <is>
          <t>09:31</t>
        </is>
      </c>
      <c r="C46" s="53" t="inlineStr">
        <is>
          <t>GOOGL</t>
        </is>
      </c>
      <c r="D46" s="54" t="n">
        <v>337.08</v>
      </c>
      <c r="E46" s="54" t="n">
        <v>339.43</v>
      </c>
      <c r="F46" s="54" t="n">
        <v>336.14</v>
      </c>
      <c r="G46" s="55" t="n">
        <v>3.9</v>
      </c>
      <c r="H46" s="56" t="n">
        <v>65</v>
      </c>
      <c r="I46" s="56" t="n">
        <v>82</v>
      </c>
      <c r="J46" s="66" t="inlineStr">
        <is>
          <t>LOSS</t>
        </is>
      </c>
      <c r="K46" s="54" t="n">
        <v>336.14</v>
      </c>
      <c r="L46" s="69" t="n">
        <v>-0.9399999999999999</v>
      </c>
      <c r="M46" s="70" t="n">
        <v>-0.00279</v>
      </c>
      <c r="N46" s="56" t="n">
        <v>1</v>
      </c>
    </row>
    <row r="47" ht="15" customHeight="1" s="49">
      <c r="A47" s="60" t="inlineStr">
        <is>
          <t>2026-04-16</t>
        </is>
      </c>
      <c r="B47" s="61" t="inlineStr">
        <is>
          <t>09:31</t>
        </is>
      </c>
      <c r="C47" s="62" t="inlineStr">
        <is>
          <t>COST</t>
        </is>
      </c>
      <c r="D47" s="63" t="n">
        <v>984.3099999999999</v>
      </c>
      <c r="E47" s="63" t="n">
        <v>989.6799999999999</v>
      </c>
      <c r="F47" s="63" t="n">
        <v>982.16</v>
      </c>
      <c r="G47" s="64" t="n">
        <v>8.699999999999999</v>
      </c>
      <c r="H47" s="65" t="n">
        <v>57</v>
      </c>
      <c r="I47" s="65" t="n">
        <v>82</v>
      </c>
      <c r="J47" s="57" t="inlineStr">
        <is>
          <t>WIN</t>
        </is>
      </c>
      <c r="K47" s="63" t="n">
        <v>989.6799999999999</v>
      </c>
      <c r="L47" s="71" t="n">
        <v>5.37</v>
      </c>
      <c r="M47" s="72" t="n">
        <v>0.00546</v>
      </c>
      <c r="N47" s="65" t="n">
        <v>1</v>
      </c>
    </row>
    <row r="48" ht="15" customHeight="1" s="49">
      <c r="A48" s="51" t="inlineStr">
        <is>
          <t>2026-04-16</t>
        </is>
      </c>
      <c r="B48" s="52" t="inlineStr">
        <is>
          <t>09:31</t>
        </is>
      </c>
      <c r="C48" s="53" t="inlineStr">
        <is>
          <t>PLD</t>
        </is>
      </c>
      <c r="D48" s="54" t="n">
        <v>139.78</v>
      </c>
      <c r="E48" s="54" t="n">
        <v>140.73</v>
      </c>
      <c r="F48" s="54" t="n">
        <v>139.4</v>
      </c>
      <c r="G48" s="55" t="n">
        <v>10.6</v>
      </c>
      <c r="H48" s="56" t="n">
        <v>74</v>
      </c>
      <c r="I48" s="56" t="n">
        <v>75</v>
      </c>
      <c r="J48" s="57" t="inlineStr">
        <is>
          <t>WIN</t>
        </is>
      </c>
      <c r="K48" s="54" t="n">
        <v>140.73</v>
      </c>
      <c r="L48" s="58" t="n">
        <v>0.95</v>
      </c>
      <c r="M48" s="59" t="n">
        <v>0.0068</v>
      </c>
      <c r="N48" s="56" t="n">
        <v>1</v>
      </c>
    </row>
    <row r="49" ht="15" customHeight="1" s="49">
      <c r="A49" s="60" t="inlineStr">
        <is>
          <t>2026-04-16</t>
        </is>
      </c>
      <c r="B49" s="61" t="inlineStr">
        <is>
          <t>09:31</t>
        </is>
      </c>
      <c r="C49" s="62" t="inlineStr">
        <is>
          <t>BA</t>
        </is>
      </c>
      <c r="D49" s="63" t="n">
        <v>224.03</v>
      </c>
      <c r="E49" s="63" t="n">
        <v>225.48</v>
      </c>
      <c r="F49" s="63" t="n">
        <v>223.45</v>
      </c>
      <c r="G49" s="64" t="n">
        <v>5.1</v>
      </c>
      <c r="H49" s="65" t="n">
        <v>64</v>
      </c>
      <c r="I49" s="65" t="n">
        <v>75</v>
      </c>
      <c r="J49" s="66" t="inlineStr">
        <is>
          <t>LOSS</t>
        </is>
      </c>
      <c r="K49" s="63" t="n">
        <v>223.45</v>
      </c>
      <c r="L49" s="67" t="n">
        <v>-0.58</v>
      </c>
      <c r="M49" s="68" t="n">
        <v>-0.00259</v>
      </c>
      <c r="N49" s="65" t="n">
        <v>1</v>
      </c>
    </row>
    <row r="50" ht="15" customHeight="1" s="49">
      <c r="A50" s="51" t="inlineStr">
        <is>
          <t>2026-04-16</t>
        </is>
      </c>
      <c r="B50" s="52" t="inlineStr">
        <is>
          <t>09:31</t>
        </is>
      </c>
      <c r="C50" s="53" t="inlineStr">
        <is>
          <t>JNJ</t>
        </is>
      </c>
      <c r="D50" s="54" t="n">
        <v>238.62</v>
      </c>
      <c r="E50" s="54" t="n">
        <v>240.22</v>
      </c>
      <c r="F50" s="54" t="n">
        <v>237.98</v>
      </c>
      <c r="G50" s="55" t="n">
        <v>1.8</v>
      </c>
      <c r="H50" s="56" t="n">
        <v>64</v>
      </c>
      <c r="I50" s="56" t="n">
        <v>74</v>
      </c>
      <c r="J50" s="66" t="inlineStr">
        <is>
          <t>LOSS</t>
        </is>
      </c>
      <c r="K50" s="54" t="n">
        <v>237.98</v>
      </c>
      <c r="L50" s="69" t="n">
        <v>-0.64</v>
      </c>
      <c r="M50" s="70" t="n">
        <v>-0.00268</v>
      </c>
      <c r="N50" s="56" t="n">
        <v>1</v>
      </c>
    </row>
    <row r="51" ht="15" customHeight="1" s="49">
      <c r="A51" s="60" t="inlineStr">
        <is>
          <t>2026-04-16</t>
        </is>
      </c>
      <c r="B51" s="61" t="inlineStr">
        <is>
          <t>09:31</t>
        </is>
      </c>
      <c r="C51" s="62" t="inlineStr">
        <is>
          <t>NVDA</t>
        </is>
      </c>
      <c r="D51" s="63" t="n">
        <v>198.84</v>
      </c>
      <c r="E51" s="63" t="n">
        <v>200.59</v>
      </c>
      <c r="F51" s="63" t="n">
        <v>198.14</v>
      </c>
      <c r="G51" s="64" t="n">
        <v>2.3</v>
      </c>
      <c r="H51" s="65" t="n">
        <v>72</v>
      </c>
      <c r="I51" s="65" t="n">
        <v>72</v>
      </c>
      <c r="J51" s="66" t="inlineStr">
        <is>
          <t>LOSS</t>
        </is>
      </c>
      <c r="K51" s="63" t="n">
        <v>198.14</v>
      </c>
      <c r="L51" s="67" t="n">
        <v>-0.7</v>
      </c>
      <c r="M51" s="68" t="n">
        <v>-0.00352</v>
      </c>
      <c r="N51" s="65" t="n">
        <v>1</v>
      </c>
    </row>
    <row r="52" ht="15" customHeight="1" s="49">
      <c r="A52" s="51" t="inlineStr">
        <is>
          <t>2026-04-16</t>
        </is>
      </c>
      <c r="B52" s="52" t="inlineStr">
        <is>
          <t>09:31</t>
        </is>
      </c>
      <c r="C52" s="53" t="inlineStr">
        <is>
          <t>SCHW</t>
        </is>
      </c>
      <c r="D52" s="54" t="n">
        <v>100.27</v>
      </c>
      <c r="E52" s="54" t="n">
        <v>100.94</v>
      </c>
      <c r="F52" s="54" t="n">
        <v>100</v>
      </c>
      <c r="G52" s="55" t="n">
        <v>1.9</v>
      </c>
      <c r="H52" s="56" t="n">
        <v>58</v>
      </c>
      <c r="I52" s="56" t="n">
        <v>72</v>
      </c>
      <c r="J52" s="66" t="inlineStr">
        <is>
          <t>LOSS</t>
        </is>
      </c>
      <c r="K52" s="54" t="n">
        <v>100</v>
      </c>
      <c r="L52" s="69" t="n">
        <v>-0.27</v>
      </c>
      <c r="M52" s="70" t="n">
        <v>-0.00269</v>
      </c>
      <c r="N52" s="56" t="n">
        <v>1</v>
      </c>
    </row>
    <row r="53" ht="15" customHeight="1" s="49">
      <c r="A53" s="60" t="inlineStr">
        <is>
          <t>2026-04-16</t>
        </is>
      </c>
      <c r="B53" s="61" t="inlineStr">
        <is>
          <t>09:31</t>
        </is>
      </c>
      <c r="C53" s="62" t="inlineStr">
        <is>
          <t>REGN</t>
        </is>
      </c>
      <c r="D53" s="63" t="n">
        <v>753.85</v>
      </c>
      <c r="E53" s="63" t="n">
        <v>760.35</v>
      </c>
      <c r="F53" s="63" t="n">
        <v>751.25</v>
      </c>
      <c r="G53" s="64" t="n">
        <v>2.4</v>
      </c>
      <c r="H53" s="65" t="n">
        <v>70</v>
      </c>
      <c r="I53" s="65" t="n">
        <v>69</v>
      </c>
      <c r="J53" s="66" t="inlineStr">
        <is>
          <t>LOSS</t>
        </is>
      </c>
      <c r="K53" s="63" t="n">
        <v>751.25</v>
      </c>
      <c r="L53" s="67" t="n">
        <v>-2.6</v>
      </c>
      <c r="M53" s="68" t="n">
        <v>-0.00345</v>
      </c>
      <c r="N53" s="65" t="n">
        <v>1</v>
      </c>
    </row>
    <row r="54" ht="15" customHeight="1" s="49">
      <c r="A54" s="51" t="inlineStr">
        <is>
          <t>2026-04-16</t>
        </is>
      </c>
      <c r="B54" s="52" t="inlineStr">
        <is>
          <t>09:31</t>
        </is>
      </c>
      <c r="C54" s="53" t="inlineStr">
        <is>
          <t>HD</t>
        </is>
      </c>
      <c r="D54" s="54" t="n">
        <v>338.91</v>
      </c>
      <c r="E54" s="54" t="n">
        <v>340.98</v>
      </c>
      <c r="F54" s="54" t="n">
        <v>338.08</v>
      </c>
      <c r="G54" s="55" t="n">
        <v>6.2</v>
      </c>
      <c r="H54" s="56" t="n">
        <v>60</v>
      </c>
      <c r="I54" s="56" t="n">
        <v>68</v>
      </c>
      <c r="J54" s="66" t="inlineStr">
        <is>
          <t>LOSS</t>
        </is>
      </c>
      <c r="K54" s="54" t="n">
        <v>338.08</v>
      </c>
      <c r="L54" s="69" t="n">
        <v>-0.83</v>
      </c>
      <c r="M54" s="70" t="n">
        <v>-0.00245</v>
      </c>
      <c r="N54" s="56" t="n">
        <v>1</v>
      </c>
    </row>
    <row r="55" ht="15" customHeight="1" s="49">
      <c r="A55" s="60" t="inlineStr">
        <is>
          <t>2026-04-16</t>
        </is>
      </c>
      <c r="B55" s="61" t="inlineStr">
        <is>
          <t>09:31</t>
        </is>
      </c>
      <c r="C55" s="62" t="inlineStr">
        <is>
          <t>AAPL</t>
        </is>
      </c>
      <c r="D55" s="63" t="n">
        <v>266.33</v>
      </c>
      <c r="E55" s="63" t="n">
        <v>267.98</v>
      </c>
      <c r="F55" s="63" t="n">
        <v>265.67</v>
      </c>
      <c r="G55" s="64" t="n">
        <v>8.699999999999999</v>
      </c>
      <c r="H55" s="65" t="n">
        <v>72</v>
      </c>
      <c r="I55" s="65" t="n">
        <v>67</v>
      </c>
      <c r="J55" s="66" t="inlineStr">
        <is>
          <t>LOSS</t>
        </is>
      </c>
      <c r="K55" s="63" t="n">
        <v>265.67</v>
      </c>
      <c r="L55" s="67" t="n">
        <v>-0.66</v>
      </c>
      <c r="M55" s="68" t="n">
        <v>-0.00248</v>
      </c>
      <c r="N55" s="65" t="n">
        <v>1</v>
      </c>
    </row>
    <row r="56" ht="15" customHeight="1" s="49">
      <c r="A56" s="51" t="inlineStr">
        <is>
          <t>2026-04-16</t>
        </is>
      </c>
      <c r="B56" s="52" t="inlineStr">
        <is>
          <t>10:02</t>
        </is>
      </c>
      <c r="C56" s="53" t="inlineStr">
        <is>
          <t>EQIX</t>
        </is>
      </c>
      <c r="D56" s="54" t="n">
        <v>1058.09</v>
      </c>
      <c r="E56" s="54" t="n">
        <v>1070.62</v>
      </c>
      <c r="F56" s="54" t="n">
        <v>1053.08</v>
      </c>
      <c r="G56" s="55" t="n">
        <v>2.1</v>
      </c>
      <c r="H56" s="56" t="n">
        <v>71</v>
      </c>
      <c r="I56" s="56" t="n">
        <v>70</v>
      </c>
      <c r="J56" s="57" t="inlineStr">
        <is>
          <t>WIN</t>
        </is>
      </c>
      <c r="K56" s="54" t="n">
        <v>1070.62</v>
      </c>
      <c r="L56" s="58" t="n">
        <v>12.53</v>
      </c>
      <c r="M56" s="59" t="n">
        <v>0.01184</v>
      </c>
      <c r="N56" s="56" t="n">
        <v>1</v>
      </c>
    </row>
    <row r="57" ht="15" customHeight="1" s="49">
      <c r="A57" s="60" t="inlineStr">
        <is>
          <t>2026-04-16</t>
        </is>
      </c>
      <c r="B57" s="61" t="inlineStr">
        <is>
          <t>10:02</t>
        </is>
      </c>
      <c r="C57" s="62" t="inlineStr">
        <is>
          <t>WMT</t>
        </is>
      </c>
      <c r="D57" s="63" t="n">
        <v>125.45</v>
      </c>
      <c r="E57" s="63" t="n">
        <v>127.12</v>
      </c>
      <c r="F57" s="63" t="n">
        <v>124.78</v>
      </c>
      <c r="G57" s="64" t="n">
        <v>1.7</v>
      </c>
      <c r="H57" s="65" t="n">
        <v>60</v>
      </c>
      <c r="I57" s="65" t="n">
        <v>70</v>
      </c>
      <c r="J57" s="66" t="inlineStr">
        <is>
          <t>LOSS</t>
        </is>
      </c>
      <c r="K57" s="63" t="n">
        <v>124.78</v>
      </c>
      <c r="L57" s="67" t="n">
        <v>-0.67</v>
      </c>
      <c r="M57" s="68" t="n">
        <v>-0.00534</v>
      </c>
      <c r="N57" s="65" t="n">
        <v>1</v>
      </c>
    </row>
    <row r="58" ht="15" customHeight="1" s="49">
      <c r="A58" s="51" t="inlineStr">
        <is>
          <t>2026-04-16</t>
        </is>
      </c>
      <c r="B58" s="52" t="inlineStr">
        <is>
          <t>10:02</t>
        </is>
      </c>
      <c r="C58" s="53" t="inlineStr">
        <is>
          <t>PEP</t>
        </is>
      </c>
      <c r="D58" s="54" t="n">
        <v>157.45</v>
      </c>
      <c r="E58" s="54" t="n">
        <v>161.17</v>
      </c>
      <c r="F58" s="54" t="n">
        <v>155.96</v>
      </c>
      <c r="G58" s="55" t="n">
        <v>2.8</v>
      </c>
      <c r="H58" s="56" t="n">
        <v>70</v>
      </c>
      <c r="I58" s="56" t="n">
        <v>66</v>
      </c>
      <c r="J58" s="73" t="inlineStr">
        <is>
          <t>EOD</t>
        </is>
      </c>
      <c r="K58" s="54" t="n">
        <v>158.38</v>
      </c>
      <c r="L58" s="58" t="n">
        <v>0.93</v>
      </c>
      <c r="M58" s="59" t="n">
        <v>0.00591</v>
      </c>
      <c r="N58" s="56" t="n">
        <v>1</v>
      </c>
    </row>
    <row r="59" ht="15" customHeight="1" s="49">
      <c r="A59" s="60" t="inlineStr">
        <is>
          <t>2026-04-16</t>
        </is>
      </c>
      <c r="B59" s="61" t="inlineStr">
        <is>
          <t>10:02</t>
        </is>
      </c>
      <c r="C59" s="62" t="inlineStr">
        <is>
          <t>CI</t>
        </is>
      </c>
      <c r="D59" s="63" t="n">
        <v>273.26</v>
      </c>
      <c r="E59" s="63" t="n">
        <v>278.03</v>
      </c>
      <c r="F59" s="63" t="n">
        <v>271.35</v>
      </c>
      <c r="G59" s="64" t="n">
        <v>1.6</v>
      </c>
      <c r="H59" s="65" t="n">
        <v>72</v>
      </c>
      <c r="I59" s="65" t="n">
        <v>63</v>
      </c>
      <c r="J59" s="73" t="inlineStr">
        <is>
          <t>EOD</t>
        </is>
      </c>
      <c r="K59" s="63" t="n">
        <v>276.37</v>
      </c>
      <c r="L59" s="71" t="n">
        <v>3.11</v>
      </c>
      <c r="M59" s="72" t="n">
        <v>0.01138</v>
      </c>
      <c r="N59" s="65" t="n">
        <v>1</v>
      </c>
    </row>
    <row r="60" ht="15" customHeight="1" s="49">
      <c r="A60" s="51" t="inlineStr">
        <is>
          <t>2026-04-16</t>
        </is>
      </c>
      <c r="B60" s="52" t="inlineStr">
        <is>
          <t>10:31</t>
        </is>
      </c>
      <c r="C60" s="53" t="inlineStr">
        <is>
          <t>AMD</t>
        </is>
      </c>
      <c r="D60" s="54" t="n">
        <v>266.95</v>
      </c>
      <c r="E60" s="54" t="n">
        <v>275.2</v>
      </c>
      <c r="F60" s="54" t="n">
        <v>263.65</v>
      </c>
      <c r="G60" s="55" t="n">
        <v>2.9</v>
      </c>
      <c r="H60" s="56" t="n">
        <v>70</v>
      </c>
      <c r="I60" s="56" t="n">
        <v>81</v>
      </c>
      <c r="J60" s="57" t="inlineStr">
        <is>
          <t>WIN</t>
        </is>
      </c>
      <c r="K60" s="54" t="n">
        <v>275.2</v>
      </c>
      <c r="L60" s="58" t="n">
        <v>8.25</v>
      </c>
      <c r="M60" s="59" t="n">
        <v>0.0309</v>
      </c>
      <c r="N60" s="56" t="n">
        <v>1</v>
      </c>
    </row>
    <row r="61" ht="15" customHeight="1" s="49">
      <c r="A61" s="60" t="inlineStr">
        <is>
          <t>2026-04-16</t>
        </is>
      </c>
      <c r="B61" s="61" t="inlineStr">
        <is>
          <t>10:31</t>
        </is>
      </c>
      <c r="C61" s="62" t="inlineStr">
        <is>
          <t>AVGO</t>
        </is>
      </c>
      <c r="D61" s="63" t="n">
        <v>397.57</v>
      </c>
      <c r="E61" s="63" t="n">
        <v>404.44</v>
      </c>
      <c r="F61" s="63" t="n">
        <v>394.82</v>
      </c>
      <c r="G61" s="64" t="n">
        <v>1.4</v>
      </c>
      <c r="H61" s="65" t="n">
        <v>59</v>
      </c>
      <c r="I61" s="65" t="n">
        <v>75</v>
      </c>
      <c r="J61" s="73" t="inlineStr">
        <is>
          <t>EOD</t>
        </is>
      </c>
      <c r="K61" s="63" t="n">
        <v>398.47</v>
      </c>
      <c r="L61" s="71" t="n">
        <v>0.9</v>
      </c>
      <c r="M61" s="72" t="n">
        <v>0.00226</v>
      </c>
      <c r="N61" s="65" t="n">
        <v>1</v>
      </c>
    </row>
    <row r="62" ht="15" customHeight="1" s="49">
      <c r="A62" s="51" t="inlineStr">
        <is>
          <t>2026-04-16</t>
        </is>
      </c>
      <c r="B62" s="52" t="inlineStr">
        <is>
          <t>10:31</t>
        </is>
      </c>
      <c r="C62" s="53" t="inlineStr">
        <is>
          <t>PLD</t>
        </is>
      </c>
      <c r="D62" s="54" t="n">
        <v>143.6</v>
      </c>
      <c r="E62" s="54" t="n">
        <v>146.8</v>
      </c>
      <c r="F62" s="54" t="n">
        <v>142.32</v>
      </c>
      <c r="G62" s="55" t="n">
        <v>1.4</v>
      </c>
      <c r="H62" s="56" t="n">
        <v>69</v>
      </c>
      <c r="I62" s="56" t="n">
        <v>70</v>
      </c>
      <c r="J62" s="66" t="inlineStr">
        <is>
          <t>LOSS</t>
        </is>
      </c>
      <c r="K62" s="54" t="n">
        <v>142.32</v>
      </c>
      <c r="L62" s="69" t="n">
        <v>-1.28</v>
      </c>
      <c r="M62" s="70" t="n">
        <v>-0.00891</v>
      </c>
      <c r="N62" s="56" t="n">
        <v>2</v>
      </c>
    </row>
    <row r="63" ht="15" customHeight="1" s="49">
      <c r="A63" s="60" t="inlineStr">
        <is>
          <t>2026-04-16</t>
        </is>
      </c>
      <c r="B63" s="61" t="inlineStr">
        <is>
          <t>11:01</t>
        </is>
      </c>
      <c r="C63" s="62" t="inlineStr">
        <is>
          <t>SNOW</t>
        </is>
      </c>
      <c r="D63" s="63" t="n">
        <v>146.4</v>
      </c>
      <c r="E63" s="63" t="n">
        <v>150.85</v>
      </c>
      <c r="F63" s="63" t="n">
        <v>144.62</v>
      </c>
      <c r="G63" s="64" t="n">
        <v>2.3</v>
      </c>
      <c r="H63" s="65" t="n">
        <v>58</v>
      </c>
      <c r="I63" s="65" t="n">
        <v>91</v>
      </c>
      <c r="J63" s="66" t="inlineStr">
        <is>
          <t>LOSS</t>
        </is>
      </c>
      <c r="K63" s="63" t="n">
        <v>144.62</v>
      </c>
      <c r="L63" s="67" t="n">
        <v>-1.78</v>
      </c>
      <c r="M63" s="68" t="n">
        <v>-0.01216</v>
      </c>
      <c r="N63" s="65" t="n">
        <v>1</v>
      </c>
    </row>
    <row r="64" ht="15" customHeight="1" s="49">
      <c r="A64" s="51" t="inlineStr">
        <is>
          <t>2026-04-16</t>
        </is>
      </c>
      <c r="B64" s="52" t="inlineStr">
        <is>
          <t>11:01</t>
        </is>
      </c>
      <c r="C64" s="53" t="inlineStr">
        <is>
          <t>ARM</t>
        </is>
      </c>
      <c r="D64" s="54" t="n">
        <v>160.74</v>
      </c>
      <c r="E64" s="54" t="n">
        <v>164.96</v>
      </c>
      <c r="F64" s="54" t="n">
        <v>159.05</v>
      </c>
      <c r="G64" s="55" t="n">
        <v>4.5</v>
      </c>
      <c r="H64" s="56" t="n">
        <v>68</v>
      </c>
      <c r="I64" s="56" t="n">
        <v>81</v>
      </c>
      <c r="J64" s="57" t="inlineStr">
        <is>
          <t>WIN</t>
        </is>
      </c>
      <c r="K64" s="54" t="n">
        <v>164.96</v>
      </c>
      <c r="L64" s="58" t="n">
        <v>4.22</v>
      </c>
      <c r="M64" s="59" t="n">
        <v>0.02626</v>
      </c>
      <c r="N64" s="56" t="n">
        <v>1</v>
      </c>
    </row>
    <row r="65" ht="15" customHeight="1" s="49">
      <c r="A65" s="60" t="inlineStr">
        <is>
          <t>2026-04-16</t>
        </is>
      </c>
      <c r="B65" s="61" t="inlineStr">
        <is>
          <t>11:01</t>
        </is>
      </c>
      <c r="C65" s="62" t="inlineStr">
        <is>
          <t>MARA</t>
        </is>
      </c>
      <c r="D65" s="63" t="n">
        <v>10.53</v>
      </c>
      <c r="E65" s="63" t="n">
        <v>10.9</v>
      </c>
      <c r="F65" s="63" t="n">
        <v>10.38</v>
      </c>
      <c r="G65" s="64" t="n">
        <v>1.8</v>
      </c>
      <c r="H65" s="65" t="n">
        <v>59</v>
      </c>
      <c r="I65" s="65" t="n">
        <v>67</v>
      </c>
      <c r="J65" s="57" t="inlineStr">
        <is>
          <t>WIN</t>
        </is>
      </c>
      <c r="K65" s="63" t="n">
        <v>10.9</v>
      </c>
      <c r="L65" s="71" t="n">
        <v>0.37</v>
      </c>
      <c r="M65" s="72" t="n">
        <v>0.03513</v>
      </c>
      <c r="N65" s="65" t="n">
        <v>1</v>
      </c>
    </row>
    <row r="66" ht="15" customHeight="1" s="49">
      <c r="A66" s="51" t="inlineStr">
        <is>
          <t>2026-04-16</t>
        </is>
      </c>
      <c r="B66" s="52" t="inlineStr">
        <is>
          <t>11:01</t>
        </is>
      </c>
      <c r="C66" s="53" t="inlineStr">
        <is>
          <t>INTC</t>
        </is>
      </c>
      <c r="D66" s="54" t="n">
        <v>67.11</v>
      </c>
      <c r="E66" s="54" t="n">
        <v>68.86</v>
      </c>
      <c r="F66" s="54" t="n">
        <v>66.41</v>
      </c>
      <c r="G66" s="55" t="n">
        <v>1.3</v>
      </c>
      <c r="H66" s="56" t="n">
        <v>74</v>
      </c>
      <c r="I66" s="56" t="n">
        <v>65</v>
      </c>
      <c r="J66" s="73" t="inlineStr">
        <is>
          <t>EOD</t>
        </is>
      </c>
      <c r="K66" s="54" t="n">
        <v>68.5</v>
      </c>
      <c r="L66" s="58" t="n">
        <v>1.39</v>
      </c>
      <c r="M66" s="59" t="n">
        <v>0.02072</v>
      </c>
      <c r="N66" s="56" t="n">
        <v>1</v>
      </c>
    </row>
    <row r="67" ht="15" customHeight="1" s="49">
      <c r="A67" s="60" t="inlineStr">
        <is>
          <t>2026-04-16</t>
        </is>
      </c>
      <c r="B67" s="61" t="inlineStr">
        <is>
          <t>11:01</t>
        </is>
      </c>
      <c r="C67" s="62" t="inlineStr">
        <is>
          <t>NET</t>
        </is>
      </c>
      <c r="D67" s="63" t="n">
        <v>197.42</v>
      </c>
      <c r="E67" s="63" t="n">
        <v>203.27</v>
      </c>
      <c r="F67" s="63" t="n">
        <v>195.08</v>
      </c>
      <c r="G67" s="64" t="n">
        <v>1.6</v>
      </c>
      <c r="H67" s="65" t="n">
        <v>74</v>
      </c>
      <c r="I67" s="65" t="n">
        <v>62</v>
      </c>
      <c r="J67" s="57" t="inlineStr">
        <is>
          <t>WIN</t>
        </is>
      </c>
      <c r="K67" s="63" t="n">
        <v>203.27</v>
      </c>
      <c r="L67" s="71" t="n">
        <v>5.85</v>
      </c>
      <c r="M67" s="72" t="n">
        <v>0.02963</v>
      </c>
      <c r="N67" s="65" t="n">
        <v>1</v>
      </c>
    </row>
    <row r="68" ht="15" customHeight="1" s="49">
      <c r="A68" s="51" t="inlineStr">
        <is>
          <t>2026-04-16</t>
        </is>
      </c>
      <c r="B68" s="52" t="inlineStr">
        <is>
          <t>11:31</t>
        </is>
      </c>
      <c r="C68" s="53" t="inlineStr">
        <is>
          <t>MMM</t>
        </is>
      </c>
      <c r="D68" s="54" t="n">
        <v>151.74</v>
      </c>
      <c r="E68" s="54" t="n">
        <v>153.14</v>
      </c>
      <c r="F68" s="54" t="n">
        <v>151.18</v>
      </c>
      <c r="G68" s="55" t="n">
        <v>1.4</v>
      </c>
      <c r="H68" s="56" t="n">
        <v>60</v>
      </c>
      <c r="I68" s="56" t="n">
        <v>78</v>
      </c>
      <c r="J68" s="66" t="inlineStr">
        <is>
          <t>LOSS</t>
        </is>
      </c>
      <c r="K68" s="54" t="n">
        <v>151.18</v>
      </c>
      <c r="L68" s="69" t="n">
        <v>-0.5600000000000001</v>
      </c>
      <c r="M68" s="70" t="n">
        <v>-0.00369</v>
      </c>
      <c r="N68" s="56" t="n">
        <v>1</v>
      </c>
    </row>
    <row r="69" ht="15" customHeight="1" s="49">
      <c r="A69" s="60" t="inlineStr">
        <is>
          <t>2026-04-16</t>
        </is>
      </c>
      <c r="B69" s="61" t="inlineStr">
        <is>
          <t>11:31</t>
        </is>
      </c>
      <c r="C69" s="62" t="inlineStr">
        <is>
          <t>QCOM</t>
        </is>
      </c>
      <c r="D69" s="63" t="n">
        <v>134.9</v>
      </c>
      <c r="E69" s="63" t="n">
        <v>136.35</v>
      </c>
      <c r="F69" s="63" t="n">
        <v>134.32</v>
      </c>
      <c r="G69" s="64" t="n">
        <v>5.7</v>
      </c>
      <c r="H69" s="65" t="n">
        <v>73</v>
      </c>
      <c r="I69" s="65" t="n">
        <v>72</v>
      </c>
      <c r="J69" s="66" t="inlineStr">
        <is>
          <t>LOSS</t>
        </is>
      </c>
      <c r="K69" s="63" t="n">
        <v>134.32</v>
      </c>
      <c r="L69" s="67" t="n">
        <v>-0.58</v>
      </c>
      <c r="M69" s="68" t="n">
        <v>-0.0043</v>
      </c>
      <c r="N69" s="65" t="n">
        <v>1</v>
      </c>
    </row>
    <row r="70" ht="15" customHeight="1" s="49">
      <c r="A70" s="51" t="inlineStr">
        <is>
          <t>2026-04-16</t>
        </is>
      </c>
      <c r="B70" s="52" t="inlineStr">
        <is>
          <t>11:31</t>
        </is>
      </c>
      <c r="C70" s="53" t="inlineStr">
        <is>
          <t>ADBE</t>
        </is>
      </c>
      <c r="D70" s="54" t="n">
        <v>247.61</v>
      </c>
      <c r="E70" s="54" t="n">
        <v>251.66</v>
      </c>
      <c r="F70" s="54" t="n">
        <v>245.99</v>
      </c>
      <c r="G70" s="55" t="n">
        <v>1.5</v>
      </c>
      <c r="H70" s="56" t="n">
        <v>58</v>
      </c>
      <c r="I70" s="56" t="n">
        <v>70</v>
      </c>
      <c r="J70" s="73" t="inlineStr">
        <is>
          <t>EOD</t>
        </is>
      </c>
      <c r="K70" s="54" t="n">
        <v>248.15</v>
      </c>
      <c r="L70" s="58" t="n">
        <v>0.54</v>
      </c>
      <c r="M70" s="59" t="n">
        <v>0.00218</v>
      </c>
      <c r="N70" s="56" t="n">
        <v>1</v>
      </c>
    </row>
    <row r="71" ht="15" customHeight="1" s="49">
      <c r="A71" s="60" t="inlineStr">
        <is>
          <t>2026-04-16</t>
        </is>
      </c>
      <c r="B71" s="61" t="inlineStr">
        <is>
          <t>11:31</t>
        </is>
      </c>
      <c r="C71" s="62" t="inlineStr">
        <is>
          <t>HOOD</t>
        </is>
      </c>
      <c r="D71" s="63" t="n">
        <v>86.78</v>
      </c>
      <c r="E71" s="63" t="n">
        <v>89.53</v>
      </c>
      <c r="F71" s="63" t="n">
        <v>85.68000000000001</v>
      </c>
      <c r="G71" s="64" t="n">
        <v>2.9</v>
      </c>
      <c r="H71" s="65" t="n">
        <v>59</v>
      </c>
      <c r="I71" s="65" t="n">
        <v>68</v>
      </c>
      <c r="J71" s="66" t="inlineStr">
        <is>
          <t>LOSS</t>
        </is>
      </c>
      <c r="K71" s="63" t="n">
        <v>85.68000000000001</v>
      </c>
      <c r="L71" s="67" t="n">
        <v>-1.1</v>
      </c>
      <c r="M71" s="68" t="n">
        <v>-0.01268</v>
      </c>
      <c r="N71" s="65" t="n">
        <v>1</v>
      </c>
    </row>
    <row r="72" ht="15" customHeight="1" s="49">
      <c r="A72" s="51" t="inlineStr">
        <is>
          <t>2026-04-16</t>
        </is>
      </c>
      <c r="B72" s="52" t="inlineStr">
        <is>
          <t>11:31</t>
        </is>
      </c>
      <c r="C72" s="53" t="inlineStr">
        <is>
          <t>CRM</t>
        </is>
      </c>
      <c r="D72" s="54" t="n">
        <v>180.31</v>
      </c>
      <c r="E72" s="54" t="n">
        <v>183.14</v>
      </c>
      <c r="F72" s="54" t="n">
        <v>179.18</v>
      </c>
      <c r="G72" s="55" t="n">
        <v>1.6</v>
      </c>
      <c r="H72" s="56" t="n">
        <v>58</v>
      </c>
      <c r="I72" s="56" t="n">
        <v>66</v>
      </c>
      <c r="J72" s="73" t="inlineStr">
        <is>
          <t>EOD</t>
        </is>
      </c>
      <c r="K72" s="54" t="n">
        <v>181.22</v>
      </c>
      <c r="L72" s="58" t="n">
        <v>0.91</v>
      </c>
      <c r="M72" s="59" t="n">
        <v>0.00505</v>
      </c>
      <c r="N72" s="56" t="n">
        <v>1</v>
      </c>
    </row>
    <row r="73" ht="15" customHeight="1" s="49">
      <c r="A73" s="60" t="inlineStr">
        <is>
          <t>2026-04-16</t>
        </is>
      </c>
      <c r="B73" s="61" t="inlineStr">
        <is>
          <t>11:31</t>
        </is>
      </c>
      <c r="C73" s="62" t="inlineStr">
        <is>
          <t>AMD</t>
        </is>
      </c>
      <c r="D73" s="63" t="n">
        <v>274.99</v>
      </c>
      <c r="E73" s="63" t="n">
        <v>282.69</v>
      </c>
      <c r="F73" s="63" t="n">
        <v>271.91</v>
      </c>
      <c r="G73" s="64" t="n">
        <v>4</v>
      </c>
      <c r="H73" s="65" t="n">
        <v>80</v>
      </c>
      <c r="I73" s="65" t="n">
        <v>65</v>
      </c>
      <c r="J73" s="66" t="inlineStr">
        <is>
          <t>LOSS</t>
        </is>
      </c>
      <c r="K73" s="63" t="n">
        <v>271.91</v>
      </c>
      <c r="L73" s="67" t="n">
        <v>-3.08</v>
      </c>
      <c r="M73" s="68" t="n">
        <v>-0.0112</v>
      </c>
      <c r="N73" s="65" t="n">
        <v>2</v>
      </c>
    </row>
    <row r="74" ht="15" customHeight="1" s="49">
      <c r="A74" s="51" t="inlineStr">
        <is>
          <t>2026-04-16</t>
        </is>
      </c>
      <c r="B74" s="52" t="inlineStr">
        <is>
          <t>11:31</t>
        </is>
      </c>
      <c r="C74" s="53" t="inlineStr">
        <is>
          <t>RIVN</t>
        </is>
      </c>
      <c r="D74" s="54" t="n">
        <v>16.77</v>
      </c>
      <c r="E74" s="54" t="n">
        <v>17.22</v>
      </c>
      <c r="F74" s="54" t="n">
        <v>16.59</v>
      </c>
      <c r="G74" s="55" t="n">
        <v>1.9</v>
      </c>
      <c r="H74" s="56" t="n">
        <v>65</v>
      </c>
      <c r="I74" s="56" t="n">
        <v>64</v>
      </c>
      <c r="J74" s="73" t="inlineStr">
        <is>
          <t>EOD</t>
        </is>
      </c>
      <c r="K74" s="54" t="n">
        <v>16.89</v>
      </c>
      <c r="L74" s="58" t="n">
        <v>0.12</v>
      </c>
      <c r="M74" s="59" t="n">
        <v>0.00716</v>
      </c>
      <c r="N74" s="56" t="n">
        <v>1</v>
      </c>
    </row>
    <row r="75" ht="15" customHeight="1" s="49">
      <c r="A75" s="60" t="inlineStr">
        <is>
          <t>2026-04-16</t>
        </is>
      </c>
      <c r="B75" s="61" t="inlineStr">
        <is>
          <t>11:31</t>
        </is>
      </c>
      <c r="C75" s="62" t="inlineStr">
        <is>
          <t>COIN</t>
        </is>
      </c>
      <c r="D75" s="63" t="n">
        <v>196.24</v>
      </c>
      <c r="E75" s="63" t="n">
        <v>201.86</v>
      </c>
      <c r="F75" s="63" t="n">
        <v>193.99</v>
      </c>
      <c r="G75" s="64" t="n">
        <v>1.3</v>
      </c>
      <c r="H75" s="65" t="n">
        <v>67</v>
      </c>
      <c r="I75" s="65" t="n">
        <v>62</v>
      </c>
      <c r="J75" s="73" t="inlineStr">
        <is>
          <t>EOD</t>
        </is>
      </c>
      <c r="K75" s="63" t="n">
        <v>199.82</v>
      </c>
      <c r="L75" s="71" t="n">
        <v>3.58</v>
      </c>
      <c r="M75" s="72" t="n">
        <v>0.01825</v>
      </c>
      <c r="N75" s="65" t="n">
        <v>1</v>
      </c>
    </row>
    <row r="76">
      <c r="A76" s="48" t="inlineStr">
        <is>
          <t>2026-04-17</t>
        </is>
      </c>
      <c r="B76" s="48" t="inlineStr">
        <is>
          <t>09:31</t>
        </is>
      </c>
      <c r="C76" s="48" t="inlineStr">
        <is>
          <t>INTC</t>
        </is>
      </c>
      <c r="D76" s="48" t="n">
        <v>68.48</v>
      </c>
      <c r="E76" s="48" t="n">
        <v>69.59999999999999</v>
      </c>
      <c r="F76" s="48" t="n">
        <v>68.03</v>
      </c>
      <c r="G76" s="48" t="n">
        <v>4.5</v>
      </c>
      <c r="H76" s="48" t="n">
        <v>66</v>
      </c>
      <c r="I76" s="48" t="n">
        <v>80</v>
      </c>
      <c r="J76" s="48" t="inlineStr">
        <is>
          <t>WIN</t>
        </is>
      </c>
      <c r="K76" s="48" t="n">
        <v>69.59999999999999</v>
      </c>
      <c r="L76" s="48" t="n">
        <v>1.12</v>
      </c>
      <c r="M76" s="48" t="n">
        <v>0.01636</v>
      </c>
      <c r="N76" s="48" t="n">
        <v>1</v>
      </c>
    </row>
    <row r="77">
      <c r="A77" s="48" t="inlineStr">
        <is>
          <t>2026-04-17</t>
        </is>
      </c>
      <c r="B77" s="48" t="inlineStr">
        <is>
          <t>09:31</t>
        </is>
      </c>
      <c r="C77" s="48" t="inlineStr">
        <is>
          <t>CRM</t>
        </is>
      </c>
      <c r="D77" s="48" t="n">
        <v>181.2</v>
      </c>
      <c r="E77" s="48" t="n">
        <v>182.8</v>
      </c>
      <c r="F77" s="48" t="n">
        <v>180.56</v>
      </c>
      <c r="G77" s="48" t="n">
        <v>4</v>
      </c>
      <c r="H77" s="48" t="n">
        <v>60</v>
      </c>
      <c r="I77" s="48" t="n">
        <v>78</v>
      </c>
      <c r="J77" s="48" t="inlineStr">
        <is>
          <t>WIN</t>
        </is>
      </c>
      <c r="K77" s="48" t="n">
        <v>182.8</v>
      </c>
      <c r="L77" s="48" t="n">
        <v>1.6</v>
      </c>
      <c r="M77" s="48" t="n">
        <v>0.008829999999999999</v>
      </c>
      <c r="N77" s="48" t="n">
        <v>1</v>
      </c>
    </row>
    <row r="78">
      <c r="A78" s="48" t="inlineStr">
        <is>
          <t>2026-04-17</t>
        </is>
      </c>
      <c r="B78" s="48" t="inlineStr">
        <is>
          <t>09:31</t>
        </is>
      </c>
      <c r="C78" s="48" t="inlineStr">
        <is>
          <t>MDLZ</t>
        </is>
      </c>
      <c r="D78" s="48" t="n">
        <v>57.07</v>
      </c>
      <c r="E78" s="48" t="n">
        <v>57.42</v>
      </c>
      <c r="F78" s="48" t="n">
        <v>56.93</v>
      </c>
      <c r="G78" s="48" t="n">
        <v>3</v>
      </c>
      <c r="H78" s="48" t="n">
        <v>69</v>
      </c>
      <c r="I78" s="48" t="n">
        <v>78</v>
      </c>
      <c r="J78" s="48" t="inlineStr">
        <is>
          <t>LOSS</t>
        </is>
      </c>
      <c r="K78" s="48" t="n">
        <v>56.93</v>
      </c>
      <c r="L78" s="48" t="n">
        <v>-0.14</v>
      </c>
      <c r="M78" s="48" t="n">
        <v>-0.00245</v>
      </c>
      <c r="N78" s="48" t="n">
        <v>1</v>
      </c>
    </row>
    <row r="79">
      <c r="A79" s="48" t="inlineStr">
        <is>
          <t>2026-04-17</t>
        </is>
      </c>
      <c r="B79" s="48" t="inlineStr">
        <is>
          <t>09:31</t>
        </is>
      </c>
      <c r="C79" s="48" t="inlineStr">
        <is>
          <t>TMUS</t>
        </is>
      </c>
      <c r="D79" s="48" t="n">
        <v>197.06</v>
      </c>
      <c r="E79" s="48" t="n">
        <v>198.46</v>
      </c>
      <c r="F79" s="48" t="n">
        <v>196.5</v>
      </c>
      <c r="G79" s="48" t="n">
        <v>2.2</v>
      </c>
      <c r="H79" s="48" t="n">
        <v>63</v>
      </c>
      <c r="I79" s="48" t="n">
        <v>76</v>
      </c>
      <c r="J79" s="48" t="inlineStr">
        <is>
          <t>LOSS</t>
        </is>
      </c>
      <c r="K79" s="48" t="n">
        <v>196.5</v>
      </c>
      <c r="L79" s="48" t="n">
        <v>-0.5600000000000001</v>
      </c>
      <c r="M79" s="48" t="n">
        <v>-0.00284</v>
      </c>
      <c r="N79" s="48" t="n">
        <v>1</v>
      </c>
    </row>
    <row r="80">
      <c r="A80" s="48" t="inlineStr">
        <is>
          <t>2026-04-17</t>
        </is>
      </c>
      <c r="B80" s="48" t="inlineStr">
        <is>
          <t>09:31</t>
        </is>
      </c>
      <c r="C80" s="48" t="inlineStr">
        <is>
          <t>AMD</t>
        </is>
      </c>
      <c r="D80" s="48" t="n">
        <v>278.27</v>
      </c>
      <c r="E80" s="48" t="n">
        <v>282.82</v>
      </c>
      <c r="F80" s="48" t="n">
        <v>276.45</v>
      </c>
      <c r="G80" s="48" t="n">
        <v>4.7</v>
      </c>
      <c r="H80" s="48" t="n">
        <v>70</v>
      </c>
      <c r="I80" s="48" t="n">
        <v>74</v>
      </c>
      <c r="J80" s="48" t="inlineStr">
        <is>
          <t>LOSS</t>
        </is>
      </c>
      <c r="K80" s="48" t="n">
        <v>276.45</v>
      </c>
      <c r="L80" s="48" t="n">
        <v>-1.82</v>
      </c>
      <c r="M80" s="48" t="n">
        <v>-0.00654</v>
      </c>
      <c r="N80" s="48" t="n">
        <v>1</v>
      </c>
    </row>
    <row r="81">
      <c r="A81" s="48" t="inlineStr">
        <is>
          <t>2026-04-17</t>
        </is>
      </c>
      <c r="B81" s="48" t="inlineStr">
        <is>
          <t>09:31</t>
        </is>
      </c>
      <c r="C81" s="48" t="inlineStr">
        <is>
          <t>MSFT</t>
        </is>
      </c>
      <c r="D81" s="48" t="n">
        <v>420.05</v>
      </c>
      <c r="E81" s="48" t="n">
        <v>423.68</v>
      </c>
      <c r="F81" s="48" t="n">
        <v>418.6</v>
      </c>
      <c r="G81" s="48" t="n">
        <v>2.9</v>
      </c>
      <c r="H81" s="48" t="n">
        <v>61</v>
      </c>
      <c r="I81" s="48" t="n">
        <v>73</v>
      </c>
      <c r="J81" s="48" t="inlineStr">
        <is>
          <t>WIN</t>
        </is>
      </c>
      <c r="K81" s="48" t="n">
        <v>423.68</v>
      </c>
      <c r="L81" s="48" t="n">
        <v>3.63</v>
      </c>
      <c r="M81" s="48" t="n">
        <v>0.00864</v>
      </c>
      <c r="N81" s="48" t="n">
        <v>1</v>
      </c>
    </row>
    <row r="82">
      <c r="A82" s="48" t="inlineStr">
        <is>
          <t>2026-04-17</t>
        </is>
      </c>
      <c r="B82" s="48" t="inlineStr">
        <is>
          <t>09:31</t>
        </is>
      </c>
      <c r="C82" s="48" t="inlineStr">
        <is>
          <t>QCOM</t>
        </is>
      </c>
      <c r="D82" s="48" t="n">
        <v>134.46</v>
      </c>
      <c r="E82" s="48" t="n">
        <v>135.46</v>
      </c>
      <c r="F82" s="48" t="n">
        <v>134.06</v>
      </c>
      <c r="G82" s="48" t="n">
        <v>5.1</v>
      </c>
      <c r="H82" s="48" t="n">
        <v>52</v>
      </c>
      <c r="I82" s="48" t="n">
        <v>73</v>
      </c>
      <c r="J82" s="48" t="inlineStr">
        <is>
          <t>WIN</t>
        </is>
      </c>
      <c r="K82" s="48" t="n">
        <v>135.46</v>
      </c>
      <c r="L82" s="48" t="n">
        <v>1</v>
      </c>
      <c r="M82" s="48" t="n">
        <v>0.00744</v>
      </c>
      <c r="N82" s="48" t="n">
        <v>1</v>
      </c>
    </row>
    <row r="83">
      <c r="A83" s="48" t="inlineStr">
        <is>
          <t>2026-04-17</t>
        </is>
      </c>
      <c r="B83" s="48" t="inlineStr">
        <is>
          <t>09:31</t>
        </is>
      </c>
      <c r="C83" s="48" t="inlineStr">
        <is>
          <t>PEP</t>
        </is>
      </c>
      <c r="D83" s="48" t="n">
        <v>158.36</v>
      </c>
      <c r="E83" s="48" t="n">
        <v>160.29</v>
      </c>
      <c r="F83" s="48" t="n">
        <v>157.59</v>
      </c>
      <c r="G83" s="48" t="n">
        <v>10.5</v>
      </c>
      <c r="H83" s="48" t="n">
        <v>60</v>
      </c>
      <c r="I83" s="48" t="n">
        <v>72</v>
      </c>
      <c r="J83" s="48" t="inlineStr">
        <is>
          <t>LOSS</t>
        </is>
      </c>
      <c r="K83" s="48" t="n">
        <v>157.59</v>
      </c>
      <c r="L83" s="48" t="n">
        <v>-0.77</v>
      </c>
      <c r="M83" s="48" t="n">
        <v>-0.00486</v>
      </c>
      <c r="N83" s="48" t="n">
        <v>1</v>
      </c>
    </row>
    <row r="84">
      <c r="A84" s="48" t="inlineStr">
        <is>
          <t>2026-04-17</t>
        </is>
      </c>
      <c r="B84" s="48" t="inlineStr">
        <is>
          <t>09:31</t>
        </is>
      </c>
      <c r="C84" s="48" t="inlineStr">
        <is>
          <t>DE</t>
        </is>
      </c>
      <c r="D84" s="48" t="n">
        <v>584.11</v>
      </c>
      <c r="E84" s="48" t="n">
        <v>588.88</v>
      </c>
      <c r="F84" s="48" t="n">
        <v>582.2</v>
      </c>
      <c r="G84" s="48" t="n">
        <v>3.4</v>
      </c>
      <c r="H84" s="48" t="n">
        <v>73</v>
      </c>
      <c r="I84" s="48" t="n">
        <v>72</v>
      </c>
      <c r="J84" s="48" t="inlineStr">
        <is>
          <t>LOSS</t>
        </is>
      </c>
      <c r="K84" s="48" t="n">
        <v>582.2</v>
      </c>
      <c r="L84" s="48" t="n">
        <v>-1.91</v>
      </c>
      <c r="M84" s="48" t="n">
        <v>-0.00327</v>
      </c>
      <c r="N84" s="48" t="n">
        <v>1</v>
      </c>
    </row>
    <row r="85">
      <c r="A85" s="48" t="inlineStr">
        <is>
          <t>2026-04-17</t>
        </is>
      </c>
      <c r="B85" s="48" t="inlineStr">
        <is>
          <t>09:31</t>
        </is>
      </c>
      <c r="C85" s="48" t="inlineStr">
        <is>
          <t>MARA</t>
        </is>
      </c>
      <c r="D85" s="48" t="n">
        <v>11.53</v>
      </c>
      <c r="E85" s="48" t="n">
        <v>11.93</v>
      </c>
      <c r="F85" s="48" t="n">
        <v>11.37</v>
      </c>
      <c r="G85" s="48" t="n">
        <v>5.7</v>
      </c>
      <c r="H85" s="48" t="n">
        <v>68</v>
      </c>
      <c r="I85" s="48" t="n">
        <v>71</v>
      </c>
      <c r="J85" s="48" t="inlineStr">
        <is>
          <t>WIN</t>
        </is>
      </c>
      <c r="K85" s="48" t="n">
        <v>11.93</v>
      </c>
      <c r="L85" s="48" t="n">
        <v>0.4</v>
      </c>
      <c r="M85" s="48" t="n">
        <v>0.03469</v>
      </c>
      <c r="N85" s="48" t="n">
        <v>1</v>
      </c>
    </row>
    <row r="86">
      <c r="A86" s="48" t="inlineStr">
        <is>
          <t>2026-04-17</t>
        </is>
      </c>
      <c r="B86" s="48" t="inlineStr">
        <is>
          <t>09:59</t>
        </is>
      </c>
      <c r="C86" s="48" t="inlineStr">
        <is>
          <t>CI</t>
        </is>
      </c>
      <c r="D86" s="48" t="n">
        <v>276.87</v>
      </c>
      <c r="E86" s="48" t="n">
        <v>280.47</v>
      </c>
      <c r="F86" s="48" t="n">
        <v>275.43</v>
      </c>
      <c r="G86" s="48" t="n">
        <v>1.4</v>
      </c>
      <c r="H86" s="48" t="n">
        <v>63</v>
      </c>
      <c r="I86" s="48" t="n">
        <v>66</v>
      </c>
      <c r="J86" s="48" t="inlineStr">
        <is>
          <t>EOD</t>
        </is>
      </c>
      <c r="K86" s="48" t="n">
        <v>278.57</v>
      </c>
      <c r="L86" s="48" t="n">
        <v>1.7</v>
      </c>
      <c r="M86" s="48" t="n">
        <v>0.00614</v>
      </c>
      <c r="N86" s="48" t="n">
        <v>1</v>
      </c>
    </row>
    <row r="87">
      <c r="A87" s="48" t="inlineStr">
        <is>
          <t>2026-04-17</t>
        </is>
      </c>
      <c r="B87" s="48" t="inlineStr">
        <is>
          <t>10:01</t>
        </is>
      </c>
      <c r="C87" s="48" t="inlineStr">
        <is>
          <t>PEP</t>
        </is>
      </c>
      <c r="D87" s="48" t="n">
        <v>158.68</v>
      </c>
      <c r="E87" s="48" t="n">
        <v>161.71</v>
      </c>
      <c r="F87" s="48" t="n">
        <v>157.47</v>
      </c>
      <c r="G87" s="48" t="n">
        <v>2.1</v>
      </c>
      <c r="H87" s="48" t="n">
        <v>57</v>
      </c>
      <c r="I87" s="48" t="n">
        <v>72</v>
      </c>
      <c r="J87" s="48" t="inlineStr">
        <is>
          <t>LOSS</t>
        </is>
      </c>
      <c r="K87" s="48" t="n">
        <v>157.47</v>
      </c>
      <c r="L87" s="48" t="n">
        <v>-1.21</v>
      </c>
      <c r="M87" s="48" t="n">
        <v>-0.00763</v>
      </c>
      <c r="N87" s="48" t="n">
        <v>2</v>
      </c>
    </row>
    <row r="88">
      <c r="A88" s="48" t="inlineStr">
        <is>
          <t>2026-04-17</t>
        </is>
      </c>
      <c r="B88" s="48" t="inlineStr">
        <is>
          <t>10:01</t>
        </is>
      </c>
      <c r="C88" s="48" t="inlineStr">
        <is>
          <t>CI</t>
        </is>
      </c>
      <c r="D88" s="48" t="n">
        <v>277.57</v>
      </c>
      <c r="E88" s="48" t="n">
        <v>281.42</v>
      </c>
      <c r="F88" s="48" t="n">
        <v>276.03</v>
      </c>
      <c r="G88" s="48" t="n">
        <v>5.5</v>
      </c>
      <c r="H88" s="48" t="n">
        <v>69</v>
      </c>
      <c r="I88" s="48" t="n">
        <v>71</v>
      </c>
      <c r="J88" s="48" t="inlineStr">
        <is>
          <t>EOD</t>
        </is>
      </c>
      <c r="K88" s="48" t="n">
        <v>278.57</v>
      </c>
      <c r="L88" s="48" t="n">
        <v>1</v>
      </c>
      <c r="M88" s="48" t="n">
        <v>0.0036</v>
      </c>
      <c r="N88" s="48" t="n">
        <v>2</v>
      </c>
    </row>
    <row r="89">
      <c r="A89" s="48" t="inlineStr">
        <is>
          <t>2026-04-17</t>
        </is>
      </c>
      <c r="B89" s="48" t="inlineStr">
        <is>
          <t>10:01</t>
        </is>
      </c>
      <c r="C89" s="48" t="inlineStr">
        <is>
          <t>HOOD</t>
        </is>
      </c>
      <c r="D89" s="48" t="n">
        <v>90.20999999999999</v>
      </c>
      <c r="E89" s="48" t="n">
        <v>93.73999999999999</v>
      </c>
      <c r="F89" s="48" t="n">
        <v>88.8</v>
      </c>
      <c r="G89" s="48" t="n">
        <v>3.2</v>
      </c>
      <c r="H89" s="48" t="n">
        <v>67</v>
      </c>
      <c r="I89" s="48" t="n">
        <v>71</v>
      </c>
      <c r="J89" s="48" t="inlineStr">
        <is>
          <t>EOD</t>
        </is>
      </c>
      <c r="K89" s="48" t="n">
        <v>90.8</v>
      </c>
      <c r="L89" s="48" t="n">
        <v>0.59</v>
      </c>
      <c r="M89" s="48" t="n">
        <v>0.00654</v>
      </c>
      <c r="N89" s="48" t="n">
        <v>1</v>
      </c>
    </row>
    <row r="90">
      <c r="A90" s="48" t="inlineStr">
        <is>
          <t>2026-04-17</t>
        </is>
      </c>
      <c r="B90" s="48" t="inlineStr">
        <is>
          <t>10:01</t>
        </is>
      </c>
      <c r="C90" s="48" t="inlineStr">
        <is>
          <t>CRWD</t>
        </is>
      </c>
      <c r="D90" s="48" t="n">
        <v>427.83</v>
      </c>
      <c r="E90" s="48" t="n">
        <v>438.48</v>
      </c>
      <c r="F90" s="48" t="n">
        <v>423.57</v>
      </c>
      <c r="G90" s="48" t="n">
        <v>2.4</v>
      </c>
      <c r="H90" s="48" t="n">
        <v>74</v>
      </c>
      <c r="I90" s="48" t="n">
        <v>69</v>
      </c>
      <c r="J90" s="48" t="inlineStr">
        <is>
          <t>LOSS</t>
        </is>
      </c>
      <c r="K90" s="48" t="n">
        <v>423.57</v>
      </c>
      <c r="L90" s="48" t="n">
        <v>-4.26</v>
      </c>
      <c r="M90" s="48" t="n">
        <v>-0.00996</v>
      </c>
      <c r="N90" s="48" t="n">
        <v>1</v>
      </c>
    </row>
    <row r="91">
      <c r="A91" s="48" t="inlineStr">
        <is>
          <t>2026-04-17</t>
        </is>
      </c>
      <c r="B91" s="48" t="inlineStr">
        <is>
          <t>10:01</t>
        </is>
      </c>
      <c r="C91" s="48" t="inlineStr">
        <is>
          <t>TGT</t>
        </is>
      </c>
      <c r="D91" s="48" t="n">
        <v>124.5</v>
      </c>
      <c r="E91" s="48" t="n">
        <v>126.12</v>
      </c>
      <c r="F91" s="48" t="n">
        <v>123.85</v>
      </c>
      <c r="G91" s="48" t="n">
        <v>2</v>
      </c>
      <c r="H91" s="48" t="n">
        <v>73</v>
      </c>
      <c r="I91" s="48" t="n">
        <v>68</v>
      </c>
      <c r="J91" s="48" t="inlineStr">
        <is>
          <t>WIN</t>
        </is>
      </c>
      <c r="K91" s="48" t="n">
        <v>126.12</v>
      </c>
      <c r="L91" s="48" t="n">
        <v>1.62</v>
      </c>
      <c r="M91" s="48" t="n">
        <v>0.01301</v>
      </c>
      <c r="N91" s="48" t="n">
        <v>1</v>
      </c>
    </row>
    <row r="92">
      <c r="A92" s="48" t="inlineStr">
        <is>
          <t>2026-04-17</t>
        </is>
      </c>
      <c r="B92" s="48" t="inlineStr">
        <is>
          <t>10:01</t>
        </is>
      </c>
      <c r="C92" s="48" t="inlineStr">
        <is>
          <t>LLY</t>
        </is>
      </c>
      <c r="D92" s="48" t="n">
        <v>923.1799999999999</v>
      </c>
      <c r="E92" s="48" t="n">
        <v>940.03</v>
      </c>
      <c r="F92" s="48" t="n">
        <v>916.4400000000001</v>
      </c>
      <c r="G92" s="48" t="n">
        <v>1.9</v>
      </c>
      <c r="H92" s="48" t="n">
        <v>70</v>
      </c>
      <c r="I92" s="48" t="n">
        <v>68</v>
      </c>
      <c r="J92" s="48" t="inlineStr">
        <is>
          <t>EOD</t>
        </is>
      </c>
      <c r="K92" s="48" t="n">
        <v>926.73</v>
      </c>
      <c r="L92" s="48" t="n">
        <v>3.55</v>
      </c>
      <c r="M92" s="48" t="n">
        <v>0.00385</v>
      </c>
      <c r="N92" s="48" t="n">
        <v>1</v>
      </c>
    </row>
    <row r="93">
      <c r="A93" s="48" t="inlineStr">
        <is>
          <t>2026-04-17</t>
        </is>
      </c>
      <c r="B93" s="48" t="inlineStr">
        <is>
          <t>10:01</t>
        </is>
      </c>
      <c r="C93" s="48" t="inlineStr">
        <is>
          <t>V</t>
        </is>
      </c>
      <c r="D93" s="48" t="n">
        <v>316.7</v>
      </c>
      <c r="E93" s="48" t="n">
        <v>319.92</v>
      </c>
      <c r="F93" s="48" t="n">
        <v>315.41</v>
      </c>
      <c r="G93" s="48" t="n">
        <v>2.9</v>
      </c>
      <c r="H93" s="48" t="n">
        <v>57</v>
      </c>
      <c r="I93" s="48" t="n">
        <v>67</v>
      </c>
      <c r="J93" s="48" t="inlineStr">
        <is>
          <t>EOD</t>
        </is>
      </c>
      <c r="K93" s="48" t="n">
        <v>317.02</v>
      </c>
      <c r="L93" s="48" t="n">
        <v>0.32</v>
      </c>
      <c r="M93" s="48" t="n">
        <v>0.00101</v>
      </c>
      <c r="N93" s="48" t="n">
        <v>1</v>
      </c>
    </row>
    <row r="94">
      <c r="A94" s="48" t="inlineStr">
        <is>
          <t>2026-04-17</t>
        </is>
      </c>
      <c r="B94" s="48" t="inlineStr">
        <is>
          <t>10:01</t>
        </is>
      </c>
      <c r="C94" s="48" t="inlineStr">
        <is>
          <t>CRM</t>
        </is>
      </c>
      <c r="D94" s="48" t="n">
        <v>186.51</v>
      </c>
      <c r="E94" s="48" t="n">
        <v>190.74</v>
      </c>
      <c r="F94" s="48" t="n">
        <v>184.82</v>
      </c>
      <c r="G94" s="48" t="n">
        <v>2</v>
      </c>
      <c r="H94" s="48" t="n">
        <v>76</v>
      </c>
      <c r="I94" s="48" t="n">
        <v>66</v>
      </c>
      <c r="J94" s="48" t="inlineStr">
        <is>
          <t>LOSS</t>
        </is>
      </c>
      <c r="K94" s="48" t="n">
        <v>184.82</v>
      </c>
      <c r="L94" s="48" t="n">
        <v>-1.69</v>
      </c>
      <c r="M94" s="48" t="n">
        <v>-0.00906</v>
      </c>
      <c r="N94" s="48" t="n">
        <v>2</v>
      </c>
    </row>
    <row r="95">
      <c r="A95" s="48" t="inlineStr">
        <is>
          <t>2026-04-17</t>
        </is>
      </c>
      <c r="B95" s="48" t="inlineStr">
        <is>
          <t>10:01</t>
        </is>
      </c>
      <c r="C95" s="48" t="inlineStr">
        <is>
          <t>NKE</t>
        </is>
      </c>
      <c r="D95" s="48" t="n">
        <v>46.13</v>
      </c>
      <c r="E95" s="48" t="n">
        <v>46.96</v>
      </c>
      <c r="F95" s="48" t="n">
        <v>45.8</v>
      </c>
      <c r="G95" s="48" t="n">
        <v>1.8</v>
      </c>
      <c r="H95" s="48" t="n">
        <v>58</v>
      </c>
      <c r="I95" s="48" t="n">
        <v>65</v>
      </c>
      <c r="J95" s="48" t="inlineStr">
        <is>
          <t>LOSS</t>
        </is>
      </c>
      <c r="K95" s="48" t="n">
        <v>45.8</v>
      </c>
      <c r="L95" s="48" t="n">
        <v>-0.33</v>
      </c>
      <c r="M95" s="48" t="n">
        <v>-0.00715</v>
      </c>
      <c r="N95" s="48" t="n">
        <v>1</v>
      </c>
    </row>
    <row r="96">
      <c r="A96" s="48" t="inlineStr">
        <is>
          <t>2026-04-17</t>
        </is>
      </c>
      <c r="B96" s="48" t="inlineStr">
        <is>
          <t>10:01</t>
        </is>
      </c>
      <c r="C96" s="48" t="inlineStr">
        <is>
          <t>IBM</t>
        </is>
      </c>
      <c r="D96" s="48" t="n">
        <v>253.33</v>
      </c>
      <c r="E96" s="48" t="n">
        <v>257.06</v>
      </c>
      <c r="F96" s="48" t="n">
        <v>251.84</v>
      </c>
      <c r="G96" s="48" t="n">
        <v>2.2</v>
      </c>
      <c r="H96" s="48" t="n">
        <v>70</v>
      </c>
      <c r="I96" s="48" t="n">
        <v>65</v>
      </c>
      <c r="J96" s="48" t="inlineStr">
        <is>
          <t>LOSS</t>
        </is>
      </c>
      <c r="K96" s="48" t="n">
        <v>251.84</v>
      </c>
      <c r="L96" s="48" t="n">
        <v>-1.49</v>
      </c>
      <c r="M96" s="48" t="n">
        <v>-0.00588</v>
      </c>
      <c r="N96" s="48" t="n">
        <v>1</v>
      </c>
    </row>
    <row r="97">
      <c r="A97" s="48" t="inlineStr">
        <is>
          <t>2026-04-17</t>
        </is>
      </c>
      <c r="B97" s="48" t="inlineStr">
        <is>
          <t>10:31</t>
        </is>
      </c>
      <c r="C97" s="48" t="inlineStr">
        <is>
          <t>GE</t>
        </is>
      </c>
      <c r="D97" s="48" t="n">
        <v>311.75</v>
      </c>
      <c r="E97" s="48" t="n">
        <v>318.77</v>
      </c>
      <c r="F97" s="48" t="n">
        <v>308.94</v>
      </c>
      <c r="G97" s="48" t="n">
        <v>1.6</v>
      </c>
      <c r="H97" s="48" t="n">
        <v>73</v>
      </c>
      <c r="I97" s="48" t="n">
        <v>84</v>
      </c>
      <c r="J97" s="48" t="inlineStr">
        <is>
          <t>LOSS</t>
        </is>
      </c>
      <c r="K97" s="48" t="n">
        <v>308.94</v>
      </c>
      <c r="L97" s="48" t="n">
        <v>-2.81</v>
      </c>
      <c r="M97" s="48" t="n">
        <v>-0.009010000000000001</v>
      </c>
      <c r="N97" s="48" t="n">
        <v>1</v>
      </c>
    </row>
    <row r="98">
      <c r="A98" s="48" t="inlineStr">
        <is>
          <t>2026-04-17</t>
        </is>
      </c>
      <c r="B98" s="48" t="inlineStr">
        <is>
          <t>10:31</t>
        </is>
      </c>
      <c r="C98" s="48" t="inlineStr">
        <is>
          <t>DE</t>
        </is>
      </c>
      <c r="D98" s="48" t="n">
        <v>588.75</v>
      </c>
      <c r="E98" s="48" t="n">
        <v>596.98</v>
      </c>
      <c r="F98" s="48" t="n">
        <v>585.46</v>
      </c>
      <c r="G98" s="48" t="n">
        <v>2</v>
      </c>
      <c r="H98" s="48" t="n">
        <v>68</v>
      </c>
      <c r="I98" s="48" t="n">
        <v>83</v>
      </c>
      <c r="J98" s="48" t="inlineStr">
        <is>
          <t>EOD</t>
        </is>
      </c>
      <c r="K98" s="48" t="n">
        <v>590.5</v>
      </c>
      <c r="L98" s="48" t="n">
        <v>1.75</v>
      </c>
      <c r="M98" s="48" t="n">
        <v>0.00297</v>
      </c>
      <c r="N98" s="48" t="n">
        <v>2</v>
      </c>
    </row>
    <row r="99">
      <c r="A99" s="48" t="inlineStr">
        <is>
          <t>2026-04-17</t>
        </is>
      </c>
      <c r="B99" s="48" t="inlineStr">
        <is>
          <t>10:31</t>
        </is>
      </c>
      <c r="C99" s="48" t="inlineStr">
        <is>
          <t>ZTS</t>
        </is>
      </c>
      <c r="D99" s="48" t="n">
        <v>121.71</v>
      </c>
      <c r="E99" s="48" t="n">
        <v>123.86</v>
      </c>
      <c r="F99" s="48" t="n">
        <v>120.85</v>
      </c>
      <c r="G99" s="48" t="n">
        <v>1.4</v>
      </c>
      <c r="H99" s="48" t="n">
        <v>68</v>
      </c>
      <c r="I99" s="48" t="n">
        <v>73</v>
      </c>
      <c r="J99" s="48" t="inlineStr">
        <is>
          <t>EOD</t>
        </is>
      </c>
      <c r="K99" s="48" t="n">
        <v>122.39</v>
      </c>
      <c r="L99" s="48" t="n">
        <v>0.68</v>
      </c>
      <c r="M99" s="48" t="n">
        <v>0.00559</v>
      </c>
      <c r="N99" s="48" t="n">
        <v>1</v>
      </c>
    </row>
    <row r="100">
      <c r="A100" s="48" t="inlineStr">
        <is>
          <t>2026-04-17</t>
        </is>
      </c>
      <c r="B100" s="48" t="inlineStr">
        <is>
          <t>10:31</t>
        </is>
      </c>
      <c r="C100" s="48" t="inlineStr">
        <is>
          <t>LRCX</t>
        </is>
      </c>
      <c r="D100" s="48" t="n">
        <v>266.58</v>
      </c>
      <c r="E100" s="48" t="n">
        <v>272.56</v>
      </c>
      <c r="F100" s="48" t="n">
        <v>264.19</v>
      </c>
      <c r="G100" s="48" t="n">
        <v>1.7</v>
      </c>
      <c r="H100" s="48" t="n">
        <v>66</v>
      </c>
      <c r="I100" s="48" t="n">
        <v>73</v>
      </c>
      <c r="J100" s="48" t="inlineStr">
        <is>
          <t>EOD</t>
        </is>
      </c>
      <c r="K100" s="48" t="n">
        <v>267.64</v>
      </c>
      <c r="L100" s="48" t="n">
        <v>1.06</v>
      </c>
      <c r="M100" s="48" t="n">
        <v>0.00398</v>
      </c>
      <c r="N100" s="48" t="n">
        <v>1</v>
      </c>
    </row>
    <row r="101">
      <c r="A101" s="48" t="inlineStr">
        <is>
          <t>2026-04-17</t>
        </is>
      </c>
      <c r="B101" s="48" t="inlineStr">
        <is>
          <t>10:31</t>
        </is>
      </c>
      <c r="C101" s="48" t="inlineStr">
        <is>
          <t>BA</t>
        </is>
      </c>
      <c r="D101" s="48" t="n">
        <v>229.98</v>
      </c>
      <c r="E101" s="48" t="n">
        <v>234.6</v>
      </c>
      <c r="F101" s="48" t="n">
        <v>228.13</v>
      </c>
      <c r="G101" s="48" t="n">
        <v>2.6</v>
      </c>
      <c r="H101" s="48" t="n">
        <v>83</v>
      </c>
      <c r="I101" s="48" t="n">
        <v>72</v>
      </c>
      <c r="J101" s="48" t="inlineStr">
        <is>
          <t>LOSS</t>
        </is>
      </c>
      <c r="K101" s="48" t="n">
        <v>228.13</v>
      </c>
      <c r="L101" s="48" t="n">
        <v>-1.85</v>
      </c>
      <c r="M101" s="48" t="n">
        <v>-0.00804</v>
      </c>
      <c r="N101" s="48" t="n">
        <v>1</v>
      </c>
    </row>
    <row r="102">
      <c r="A102" s="48" t="inlineStr">
        <is>
          <t>2026-04-17</t>
        </is>
      </c>
      <c r="B102" s="48" t="inlineStr">
        <is>
          <t>10:31</t>
        </is>
      </c>
      <c r="C102" s="48" t="inlineStr">
        <is>
          <t>HOOD</t>
        </is>
      </c>
      <c r="D102" s="48" t="n">
        <v>91.73999999999999</v>
      </c>
      <c r="E102" s="48" t="n">
        <v>95.02</v>
      </c>
      <c r="F102" s="48" t="n">
        <v>90.43000000000001</v>
      </c>
      <c r="G102" s="48" t="n">
        <v>2.9</v>
      </c>
      <c r="H102" s="48" t="n">
        <v>72</v>
      </c>
      <c r="I102" s="48" t="n">
        <v>71</v>
      </c>
      <c r="J102" s="48" t="inlineStr">
        <is>
          <t>LOSS</t>
        </is>
      </c>
      <c r="K102" s="48" t="n">
        <v>90.43000000000001</v>
      </c>
      <c r="L102" s="48" t="n">
        <v>-1.31</v>
      </c>
      <c r="M102" s="48" t="n">
        <v>-0.01428</v>
      </c>
      <c r="N102" s="48" t="n">
        <v>2</v>
      </c>
    </row>
    <row r="103">
      <c r="A103" s="48" t="inlineStr">
        <is>
          <t>2026-04-17</t>
        </is>
      </c>
      <c r="B103" s="48" t="inlineStr">
        <is>
          <t>10:31</t>
        </is>
      </c>
      <c r="C103" s="48" t="inlineStr">
        <is>
          <t>BKNG</t>
        </is>
      </c>
      <c r="D103" s="48" t="n">
        <v>190.66</v>
      </c>
      <c r="E103" s="48" t="n">
        <v>195.26</v>
      </c>
      <c r="F103" s="48" t="n">
        <v>188.82</v>
      </c>
      <c r="G103" s="48" t="n">
        <v>1.3</v>
      </c>
      <c r="H103" s="48" t="n">
        <v>65</v>
      </c>
      <c r="I103" s="48" t="n">
        <v>71</v>
      </c>
      <c r="J103" s="48" t="inlineStr">
        <is>
          <t>EOD</t>
        </is>
      </c>
      <c r="K103" s="48" t="n">
        <v>192.07</v>
      </c>
      <c r="L103" s="48" t="n">
        <v>1.41</v>
      </c>
      <c r="M103" s="48" t="n">
        <v>0.0074</v>
      </c>
      <c r="N103" s="48" t="n">
        <v>1</v>
      </c>
    </row>
    <row r="104">
      <c r="A104" s="48" t="inlineStr">
        <is>
          <t>2026-04-17</t>
        </is>
      </c>
      <c r="B104" s="48" t="inlineStr">
        <is>
          <t>10:31</t>
        </is>
      </c>
      <c r="C104" s="48" t="inlineStr">
        <is>
          <t>JPM</t>
        </is>
      </c>
      <c r="D104" s="48" t="n">
        <v>313.03</v>
      </c>
      <c r="E104" s="48" t="n">
        <v>316.38</v>
      </c>
      <c r="F104" s="48" t="n">
        <v>311.69</v>
      </c>
      <c r="G104" s="48" t="n">
        <v>1.5</v>
      </c>
      <c r="H104" s="48" t="n">
        <v>71</v>
      </c>
      <c r="I104" s="48" t="n">
        <v>70</v>
      </c>
      <c r="J104" s="48" t="inlineStr">
        <is>
          <t>LOSS</t>
        </is>
      </c>
      <c r="K104" s="48" t="n">
        <v>311.69</v>
      </c>
      <c r="L104" s="48" t="n">
        <v>-1.34</v>
      </c>
      <c r="M104" s="48" t="n">
        <v>-0.00428</v>
      </c>
      <c r="N104" s="48" t="n">
        <v>1</v>
      </c>
    </row>
    <row r="105">
      <c r="A105" s="48" t="inlineStr">
        <is>
          <t>2026-04-17</t>
        </is>
      </c>
      <c r="B105" s="48" t="inlineStr">
        <is>
          <t>10:31</t>
        </is>
      </c>
      <c r="C105" s="48" t="inlineStr">
        <is>
          <t>UNH</t>
        </is>
      </c>
      <c r="D105" s="48" t="n">
        <v>323.02</v>
      </c>
      <c r="E105" s="48" t="n">
        <v>327.44</v>
      </c>
      <c r="F105" s="48" t="n">
        <v>321.25</v>
      </c>
      <c r="G105" s="48" t="n">
        <v>1.6</v>
      </c>
      <c r="H105" s="48" t="n">
        <v>71</v>
      </c>
      <c r="I105" s="48" t="n">
        <v>69</v>
      </c>
      <c r="J105" s="48" t="inlineStr">
        <is>
          <t>EOD</t>
        </is>
      </c>
      <c r="K105" s="48" t="n">
        <v>324.51</v>
      </c>
      <c r="L105" s="48" t="n">
        <v>1.49</v>
      </c>
      <c r="M105" s="48" t="n">
        <v>0.00461</v>
      </c>
      <c r="N105" s="48" t="n">
        <v>1</v>
      </c>
    </row>
    <row r="106">
      <c r="A106" s="48" t="inlineStr">
        <is>
          <t>2026-04-17</t>
        </is>
      </c>
      <c r="B106" s="48" t="inlineStr">
        <is>
          <t>10:31</t>
        </is>
      </c>
      <c r="C106" s="48" t="inlineStr">
        <is>
          <t>RIVN</t>
        </is>
      </c>
      <c r="D106" s="48" t="n">
        <v>17.39</v>
      </c>
      <c r="E106" s="48" t="n">
        <v>17.79</v>
      </c>
      <c r="F106" s="48" t="n">
        <v>17.23</v>
      </c>
      <c r="G106" s="48" t="n">
        <v>2.1</v>
      </c>
      <c r="H106" s="48" t="n">
        <v>74</v>
      </c>
      <c r="I106" s="48" t="n">
        <v>68</v>
      </c>
      <c r="J106" s="48" t="inlineStr">
        <is>
          <t>LOSS</t>
        </is>
      </c>
      <c r="K106" s="48" t="n">
        <v>17.23</v>
      </c>
      <c r="L106" s="48" t="n">
        <v>-0.16</v>
      </c>
      <c r="M106" s="48" t="n">
        <v>-0.0092</v>
      </c>
      <c r="N106" s="48" t="n">
        <v>1</v>
      </c>
    </row>
    <row r="107">
      <c r="A107" s="48" t="inlineStr">
        <is>
          <t>2026-04-17</t>
        </is>
      </c>
      <c r="B107" s="48" t="inlineStr">
        <is>
          <t>11:01</t>
        </is>
      </c>
      <c r="C107" s="48" t="inlineStr">
        <is>
          <t>GE</t>
        </is>
      </c>
      <c r="D107" s="48" t="n">
        <v>313.04</v>
      </c>
      <c r="E107" s="48" t="n">
        <v>318.84</v>
      </c>
      <c r="F107" s="48" t="n">
        <v>310.72</v>
      </c>
      <c r="G107" s="48" t="n">
        <v>2.2</v>
      </c>
      <c r="H107" s="48" t="n">
        <v>72</v>
      </c>
      <c r="I107" s="48" t="n">
        <v>77</v>
      </c>
      <c r="J107" s="48" t="inlineStr">
        <is>
          <t>LOSS</t>
        </is>
      </c>
      <c r="K107" s="48" t="n">
        <v>310.72</v>
      </c>
      <c r="L107" s="48" t="n">
        <v>-2.32</v>
      </c>
      <c r="M107" s="48" t="n">
        <v>-0.00741</v>
      </c>
      <c r="N107" s="48" t="n">
        <v>2</v>
      </c>
    </row>
    <row r="108">
      <c r="A108" s="48" t="inlineStr">
        <is>
          <t>2026-04-17</t>
        </is>
      </c>
      <c r="B108" s="48" t="inlineStr">
        <is>
          <t>11:01</t>
        </is>
      </c>
      <c r="C108" s="48" t="inlineStr">
        <is>
          <t>BKNG</t>
        </is>
      </c>
      <c r="D108" s="48" t="n">
        <v>192.51</v>
      </c>
      <c r="E108" s="48" t="n">
        <v>196.56</v>
      </c>
      <c r="F108" s="48" t="n">
        <v>190.89</v>
      </c>
      <c r="G108" s="48" t="n">
        <v>2.2</v>
      </c>
      <c r="H108" s="48" t="n">
        <v>73</v>
      </c>
      <c r="I108" s="48" t="n">
        <v>74</v>
      </c>
      <c r="J108" s="48" t="inlineStr">
        <is>
          <t>LOSS</t>
        </is>
      </c>
      <c r="K108" s="48" t="n">
        <v>190.89</v>
      </c>
      <c r="L108" s="48" t="n">
        <v>-1.62</v>
      </c>
      <c r="M108" s="48" t="n">
        <v>-0.00842</v>
      </c>
      <c r="N108" s="48" t="n">
        <v>2</v>
      </c>
    </row>
    <row r="109">
      <c r="A109" s="48" t="inlineStr">
        <is>
          <t>2026-04-17</t>
        </is>
      </c>
      <c r="B109" s="48" t="inlineStr">
        <is>
          <t>11:01</t>
        </is>
      </c>
      <c r="C109" s="48" t="inlineStr">
        <is>
          <t>LOW</t>
        </is>
      </c>
      <c r="D109" s="48" t="n">
        <v>254.15</v>
      </c>
      <c r="E109" s="48" t="n">
        <v>258.55</v>
      </c>
      <c r="F109" s="48" t="n">
        <v>252.39</v>
      </c>
      <c r="G109" s="48" t="n">
        <v>3.3</v>
      </c>
      <c r="H109" s="48" t="n">
        <v>75</v>
      </c>
      <c r="I109" s="48" t="n">
        <v>71</v>
      </c>
      <c r="J109" s="48" t="inlineStr">
        <is>
          <t>LOSS</t>
        </is>
      </c>
      <c r="K109" s="48" t="n">
        <v>252.39</v>
      </c>
      <c r="L109" s="48" t="n">
        <v>-1.76</v>
      </c>
      <c r="M109" s="48" t="n">
        <v>-0.00693</v>
      </c>
      <c r="N109" s="48" t="n">
        <v>1</v>
      </c>
    </row>
    <row r="110">
      <c r="A110" s="48" t="inlineStr">
        <is>
          <t>2026-04-17</t>
        </is>
      </c>
      <c r="B110" s="48" t="inlineStr">
        <is>
          <t>11:01</t>
        </is>
      </c>
      <c r="C110" s="48" t="inlineStr">
        <is>
          <t>CL</t>
        </is>
      </c>
      <c r="D110" s="48" t="n">
        <v>85.58</v>
      </c>
      <c r="E110" s="48" t="n">
        <v>86.86</v>
      </c>
      <c r="F110" s="48" t="n">
        <v>85.06999999999999</v>
      </c>
      <c r="G110" s="48" t="n">
        <v>3.1</v>
      </c>
      <c r="H110" s="48" t="n">
        <v>67</v>
      </c>
      <c r="I110" s="48" t="n">
        <v>71</v>
      </c>
      <c r="J110" s="48" t="inlineStr">
        <is>
          <t>EOD</t>
        </is>
      </c>
      <c r="K110" s="48" t="n">
        <v>85.81</v>
      </c>
      <c r="L110" s="48" t="n">
        <v>0.23</v>
      </c>
      <c r="M110" s="48" t="n">
        <v>0.00263</v>
      </c>
      <c r="N110" s="48" t="n">
        <v>1</v>
      </c>
    </row>
    <row r="111">
      <c r="A111" s="48" t="inlineStr">
        <is>
          <t>2026-04-17</t>
        </is>
      </c>
      <c r="B111" s="48" t="inlineStr">
        <is>
          <t>11:01</t>
        </is>
      </c>
      <c r="C111" s="48" t="inlineStr">
        <is>
          <t>SNAP</t>
        </is>
      </c>
      <c r="D111" s="48" t="n">
        <v>6.07</v>
      </c>
      <c r="E111" s="48" t="n">
        <v>6.24</v>
      </c>
      <c r="F111" s="48" t="n">
        <v>6</v>
      </c>
      <c r="G111" s="48" t="n">
        <v>3</v>
      </c>
      <c r="H111" s="48" t="n">
        <v>52</v>
      </c>
      <c r="I111" s="48" t="n">
        <v>70</v>
      </c>
      <c r="J111" s="48" t="inlineStr">
        <is>
          <t>LOSS</t>
        </is>
      </c>
      <c r="K111" s="48" t="n">
        <v>6</v>
      </c>
      <c r="L111" s="48" t="n">
        <v>-0.07000000000000001</v>
      </c>
      <c r="M111" s="48" t="n">
        <v>-0.01153</v>
      </c>
      <c r="N111" s="48" t="n">
        <v>1</v>
      </c>
    </row>
    <row r="112">
      <c r="A112" s="48" t="inlineStr">
        <is>
          <t>2026-04-17</t>
        </is>
      </c>
      <c r="B112" s="48" t="inlineStr">
        <is>
          <t>11:01</t>
        </is>
      </c>
      <c r="C112" s="48" t="inlineStr">
        <is>
          <t>HOOD</t>
        </is>
      </c>
      <c r="D112" s="48" t="n">
        <v>92.65000000000001</v>
      </c>
      <c r="E112" s="48" t="n">
        <v>95.72</v>
      </c>
      <c r="F112" s="48" t="n">
        <v>91.42</v>
      </c>
      <c r="G112" s="48" t="n">
        <v>2.4</v>
      </c>
      <c r="H112" s="48" t="n">
        <v>71</v>
      </c>
      <c r="I112" s="48" t="n">
        <v>69</v>
      </c>
      <c r="J112" s="48" t="inlineStr">
        <is>
          <t>LOSS</t>
        </is>
      </c>
      <c r="K112" s="48" t="n">
        <v>91.42</v>
      </c>
      <c r="L112" s="48" t="n">
        <v>-1.23</v>
      </c>
      <c r="M112" s="48" t="n">
        <v>-0.01328</v>
      </c>
      <c r="N112" s="48" t="n">
        <v>3</v>
      </c>
    </row>
    <row r="113">
      <c r="A113" s="48" t="inlineStr">
        <is>
          <t>2026-04-17</t>
        </is>
      </c>
      <c r="B113" s="48" t="inlineStr">
        <is>
          <t>11:01</t>
        </is>
      </c>
      <c r="C113" s="48" t="inlineStr">
        <is>
          <t>PG</t>
        </is>
      </c>
      <c r="D113" s="48" t="n">
        <v>147.09</v>
      </c>
      <c r="E113" s="48" t="n">
        <v>148.84</v>
      </c>
      <c r="F113" s="48" t="n">
        <v>146.39</v>
      </c>
      <c r="G113" s="48" t="n">
        <v>2</v>
      </c>
      <c r="H113" s="48" t="n">
        <v>75</v>
      </c>
      <c r="I113" s="48" t="n">
        <v>68</v>
      </c>
      <c r="J113" s="48" t="inlineStr">
        <is>
          <t>EOD</t>
        </is>
      </c>
      <c r="K113" s="48" t="n">
        <v>146.92</v>
      </c>
      <c r="L113" s="48" t="n">
        <v>-0.17</v>
      </c>
      <c r="M113" s="48" t="n">
        <v>-0.00116</v>
      </c>
      <c r="N113" s="48" t="n">
        <v>1</v>
      </c>
    </row>
    <row r="114">
      <c r="A114" s="48" t="inlineStr">
        <is>
          <t>2026-04-17</t>
        </is>
      </c>
      <c r="B114" s="48" t="inlineStr">
        <is>
          <t>11:01</t>
        </is>
      </c>
      <c r="C114" s="48" t="inlineStr">
        <is>
          <t>UNP</t>
        </is>
      </c>
      <c r="D114" s="48" t="n">
        <v>254.94</v>
      </c>
      <c r="E114" s="48" t="n">
        <v>257.74</v>
      </c>
      <c r="F114" s="48" t="n">
        <v>253.82</v>
      </c>
      <c r="G114" s="48" t="n">
        <v>1.9</v>
      </c>
      <c r="H114" s="48" t="n">
        <v>75</v>
      </c>
      <c r="I114" s="48" t="n">
        <v>67</v>
      </c>
      <c r="J114" s="48" t="inlineStr">
        <is>
          <t>LOSS</t>
        </is>
      </c>
      <c r="K114" s="48" t="n">
        <v>253.82</v>
      </c>
      <c r="L114" s="48" t="n">
        <v>-1.12</v>
      </c>
      <c r="M114" s="48" t="n">
        <v>-0.00439</v>
      </c>
      <c r="N114" s="48" t="n">
        <v>1</v>
      </c>
    </row>
    <row r="115">
      <c r="A115" s="48" t="inlineStr">
        <is>
          <t>2026-04-17</t>
        </is>
      </c>
      <c r="B115" s="48" t="inlineStr">
        <is>
          <t>11:01</t>
        </is>
      </c>
      <c r="C115" s="48" t="inlineStr">
        <is>
          <t>HON</t>
        </is>
      </c>
      <c r="D115" s="48" t="n">
        <v>235.67</v>
      </c>
      <c r="E115" s="48" t="n">
        <v>239.04</v>
      </c>
      <c r="F115" s="48" t="n">
        <v>234.32</v>
      </c>
      <c r="G115" s="48" t="n">
        <v>1.8</v>
      </c>
      <c r="H115" s="48" t="n">
        <v>69</v>
      </c>
      <c r="I115" s="48" t="n">
        <v>67</v>
      </c>
      <c r="J115" s="48" t="inlineStr">
        <is>
          <t>LOSS</t>
        </is>
      </c>
      <c r="K115" s="48" t="n">
        <v>234.32</v>
      </c>
      <c r="L115" s="48" t="n">
        <v>-1.35</v>
      </c>
      <c r="M115" s="48" t="n">
        <v>-0.00573</v>
      </c>
      <c r="N115" s="48" t="n">
        <v>1</v>
      </c>
    </row>
    <row r="116">
      <c r="A116" s="48" t="inlineStr">
        <is>
          <t>2026-04-17</t>
        </is>
      </c>
      <c r="B116" s="48" t="inlineStr">
        <is>
          <t>11:01</t>
        </is>
      </c>
      <c r="C116" s="48" t="inlineStr">
        <is>
          <t>MMM</t>
        </is>
      </c>
      <c r="D116" s="48" t="n">
        <v>155.88</v>
      </c>
      <c r="E116" s="48" t="n">
        <v>158.13</v>
      </c>
      <c r="F116" s="48" t="n">
        <v>154.98</v>
      </c>
      <c r="G116" s="48" t="n">
        <v>1.4</v>
      </c>
      <c r="H116" s="48" t="n">
        <v>70</v>
      </c>
      <c r="I116" s="48" t="n">
        <v>66</v>
      </c>
      <c r="J116" s="48" t="inlineStr">
        <is>
          <t>LOSS</t>
        </is>
      </c>
      <c r="K116" s="48" t="n">
        <v>154.98</v>
      </c>
      <c r="L116" s="48" t="n">
        <v>-0.9</v>
      </c>
      <c r="M116" s="48" t="n">
        <v>-0.00577</v>
      </c>
      <c r="N116" s="48" t="n">
        <v>1</v>
      </c>
    </row>
    <row r="117">
      <c r="A117" s="48" t="inlineStr">
        <is>
          <t>2026-04-17</t>
        </is>
      </c>
      <c r="B117" s="48" t="inlineStr">
        <is>
          <t>11:25</t>
        </is>
      </c>
      <c r="C117" s="48" t="inlineStr">
        <is>
          <t>ISRG</t>
        </is>
      </c>
      <c r="D117" s="48" t="n">
        <v>470.4</v>
      </c>
      <c r="E117" s="48" t="n">
        <v>476.32</v>
      </c>
      <c r="F117" s="48" t="n">
        <v>468.03</v>
      </c>
      <c r="G117" s="48" t="n">
        <v>1.4</v>
      </c>
      <c r="H117" s="48" t="n">
        <v>69</v>
      </c>
      <c r="I117" s="48" t="n">
        <v>66</v>
      </c>
      <c r="J117" s="48" t="inlineStr">
        <is>
          <t>LOSS</t>
        </is>
      </c>
      <c r="K117" s="48" t="n">
        <v>468.03</v>
      </c>
      <c r="L117" s="48" t="n">
        <v>-2.37</v>
      </c>
      <c r="M117" s="48" t="n">
        <v>-0.00504</v>
      </c>
      <c r="N117" s="48" t="n">
        <v>1</v>
      </c>
    </row>
    <row r="118">
      <c r="A118" s="48" t="inlineStr">
        <is>
          <t>2026-04-17</t>
        </is>
      </c>
      <c r="B118" s="48" t="inlineStr">
        <is>
          <t>11:25</t>
        </is>
      </c>
      <c r="C118" s="48" t="inlineStr">
        <is>
          <t>HOOD</t>
        </is>
      </c>
      <c r="D118" s="48" t="n">
        <v>92.19</v>
      </c>
      <c r="E118" s="48" t="n">
        <v>95.22</v>
      </c>
      <c r="F118" s="48" t="n">
        <v>90.98</v>
      </c>
      <c r="G118" s="48" t="n">
        <v>2.7</v>
      </c>
      <c r="H118" s="48" t="n">
        <v>62</v>
      </c>
      <c r="I118" s="48" t="n">
        <v>66</v>
      </c>
      <c r="J118" s="48" t="inlineStr">
        <is>
          <t>LOSS</t>
        </is>
      </c>
      <c r="K118" s="48" t="n">
        <v>90.98</v>
      </c>
      <c r="L118" s="48" t="n">
        <v>-1.21</v>
      </c>
      <c r="M118" s="48" t="n">
        <v>-0.01313</v>
      </c>
      <c r="N118" s="48" t="n">
        <v>4</v>
      </c>
    </row>
    <row r="119">
      <c r="A119" s="48" t="inlineStr">
        <is>
          <t>2026-04-17</t>
        </is>
      </c>
      <c r="B119" s="48" t="inlineStr">
        <is>
          <t>11:25</t>
        </is>
      </c>
      <c r="C119" s="48" t="inlineStr">
        <is>
          <t>ZTS</t>
        </is>
      </c>
      <c r="D119" s="48" t="n">
        <v>122.07</v>
      </c>
      <c r="E119" s="48" t="n">
        <v>123.87</v>
      </c>
      <c r="F119" s="48" t="n">
        <v>121.35</v>
      </c>
      <c r="G119" s="48" t="n">
        <v>1.7</v>
      </c>
      <c r="H119" s="48" t="n">
        <v>64</v>
      </c>
      <c r="I119" s="48" t="n">
        <v>65</v>
      </c>
      <c r="J119" s="48" t="inlineStr">
        <is>
          <t>EOD</t>
        </is>
      </c>
      <c r="K119" s="48" t="n">
        <v>122.39</v>
      </c>
      <c r="L119" s="48" t="n">
        <v>0.32</v>
      </c>
      <c r="M119" s="48" t="n">
        <v>0.00262</v>
      </c>
      <c r="N119" s="48" t="n">
        <v>2</v>
      </c>
    </row>
    <row r="120">
      <c r="A120" s="48" t="inlineStr">
        <is>
          <t>2026-04-17</t>
        </is>
      </c>
      <c r="B120" s="48" t="inlineStr">
        <is>
          <t>11:25</t>
        </is>
      </c>
      <c r="C120" s="48" t="inlineStr">
        <is>
          <t>RIVN</t>
        </is>
      </c>
      <c r="D120" s="48" t="n">
        <v>17.45</v>
      </c>
      <c r="E120" s="48" t="n">
        <v>17.94</v>
      </c>
      <c r="F120" s="48" t="n">
        <v>17.24</v>
      </c>
      <c r="G120" s="48" t="n">
        <v>2</v>
      </c>
      <c r="H120" s="48" t="n">
        <v>57</v>
      </c>
      <c r="I120" s="48" t="n">
        <v>64</v>
      </c>
      <c r="J120" s="48" t="inlineStr">
        <is>
          <t>LOSS</t>
        </is>
      </c>
      <c r="K120" s="48" t="n">
        <v>17.24</v>
      </c>
      <c r="L120" s="48" t="n">
        <v>-0.21</v>
      </c>
      <c r="M120" s="48" t="n">
        <v>-0.01203</v>
      </c>
      <c r="N120" s="48" t="n">
        <v>2</v>
      </c>
    </row>
    <row r="121">
      <c r="A121" s="48" t="inlineStr">
        <is>
          <t>2026-04-17</t>
        </is>
      </c>
      <c r="B121" s="48" t="inlineStr">
        <is>
          <t>11:25</t>
        </is>
      </c>
      <c r="C121" s="48" t="inlineStr">
        <is>
          <t>FDX</t>
        </is>
      </c>
      <c r="D121" s="48" t="n">
        <v>386.68</v>
      </c>
      <c r="E121" s="48" t="n">
        <v>391.1</v>
      </c>
      <c r="F121" s="48" t="n">
        <v>384.91</v>
      </c>
      <c r="G121" s="48" t="n">
        <v>1.7</v>
      </c>
      <c r="H121" s="48" t="n">
        <v>63</v>
      </c>
      <c r="I121" s="48" t="n">
        <v>63</v>
      </c>
      <c r="J121" s="48" t="inlineStr">
        <is>
          <t>WIN</t>
        </is>
      </c>
      <c r="K121" s="48" t="n">
        <v>391.1</v>
      </c>
      <c r="L121" s="48" t="n">
        <v>4.42</v>
      </c>
      <c r="M121" s="48" t="n">
        <v>0.01143</v>
      </c>
      <c r="N121" s="48" t="n">
        <v>1</v>
      </c>
    </row>
    <row r="122">
      <c r="A122" s="48" t="inlineStr">
        <is>
          <t>2026-04-17</t>
        </is>
      </c>
      <c r="B122" s="48" t="inlineStr">
        <is>
          <t>11:25</t>
        </is>
      </c>
      <c r="C122" s="48" t="inlineStr">
        <is>
          <t>CAT</t>
        </is>
      </c>
      <c r="D122" s="48" t="n">
        <v>790.97</v>
      </c>
      <c r="E122" s="48" t="n">
        <v>802.4</v>
      </c>
      <c r="F122" s="48" t="n">
        <v>786.4</v>
      </c>
      <c r="G122" s="48" t="n">
        <v>1.4</v>
      </c>
      <c r="H122" s="48" t="n">
        <v>62</v>
      </c>
      <c r="I122" s="48" t="n">
        <v>60</v>
      </c>
      <c r="J122" s="48" t="inlineStr">
        <is>
          <t>EOD</t>
        </is>
      </c>
      <c r="K122" s="48" t="n">
        <v>794.47</v>
      </c>
      <c r="L122" s="48" t="n">
        <v>3.5</v>
      </c>
      <c r="M122" s="48" t="n">
        <v>0.00442</v>
      </c>
      <c r="N122" s="48" t="n">
        <v>1</v>
      </c>
    </row>
    <row r="123">
      <c r="A123" s="48" t="inlineStr">
        <is>
          <t>2026-04-17</t>
        </is>
      </c>
      <c r="B123" s="48" t="inlineStr">
        <is>
          <t>11:28</t>
        </is>
      </c>
      <c r="C123" s="48" t="inlineStr">
        <is>
          <t>KO</t>
        </is>
      </c>
      <c r="D123" s="48" t="n">
        <v>75.84</v>
      </c>
      <c r="E123" s="48" t="n">
        <v>76.42</v>
      </c>
      <c r="F123" s="48" t="n">
        <v>75.61</v>
      </c>
      <c r="G123" s="48" t="n">
        <v>6.2</v>
      </c>
      <c r="H123" s="48" t="n">
        <v>63</v>
      </c>
      <c r="I123" s="48" t="n">
        <v>70</v>
      </c>
      <c r="J123" s="48" t="inlineStr">
        <is>
          <t>EOD</t>
        </is>
      </c>
      <c r="K123" s="48" t="n">
        <v>75.73999999999999</v>
      </c>
      <c r="L123" s="48" t="n">
        <v>-0.1</v>
      </c>
      <c r="M123" s="48" t="n">
        <v>-0.00132</v>
      </c>
      <c r="N123" s="48" t="n">
        <v>1</v>
      </c>
    </row>
    <row r="124">
      <c r="A124" s="48" t="inlineStr">
        <is>
          <t>2026-04-17</t>
        </is>
      </c>
      <c r="B124" s="48" t="inlineStr">
        <is>
          <t>11:28</t>
        </is>
      </c>
      <c r="C124" s="48" t="inlineStr">
        <is>
          <t>TMO</t>
        </is>
      </c>
      <c r="D124" s="48" t="n">
        <v>528.05</v>
      </c>
      <c r="E124" s="48" t="n">
        <v>534.97</v>
      </c>
      <c r="F124" s="48" t="n">
        <v>525.28</v>
      </c>
      <c r="G124" s="48" t="n">
        <v>1.8</v>
      </c>
      <c r="H124" s="48" t="n">
        <v>65</v>
      </c>
      <c r="I124" s="48" t="n">
        <v>67</v>
      </c>
      <c r="J124" s="48" t="inlineStr">
        <is>
          <t>LOSS</t>
        </is>
      </c>
      <c r="K124" s="48" t="n">
        <v>525.28</v>
      </c>
      <c r="L124" s="48" t="n">
        <v>-2.77</v>
      </c>
      <c r="M124" s="48" t="n">
        <v>-0.00525</v>
      </c>
      <c r="N124" s="48" t="n">
        <v>1</v>
      </c>
    </row>
    <row r="125">
      <c r="A125" s="48" t="inlineStr">
        <is>
          <t>2026-04-17</t>
        </is>
      </c>
      <c r="B125" s="48" t="inlineStr">
        <is>
          <t>11:31</t>
        </is>
      </c>
      <c r="C125" s="48" t="inlineStr">
        <is>
          <t>ZTS</t>
        </is>
      </c>
      <c r="D125" s="48" t="n">
        <v>122.15</v>
      </c>
      <c r="E125" s="48" t="n">
        <v>123.9</v>
      </c>
      <c r="F125" s="48" t="n">
        <v>121.45</v>
      </c>
      <c r="G125" s="48" t="n">
        <v>3.3</v>
      </c>
      <c r="H125" s="48" t="n">
        <v>64</v>
      </c>
      <c r="I125" s="48" t="n">
        <v>69</v>
      </c>
      <c r="J125" s="48" t="inlineStr">
        <is>
          <t>EOD</t>
        </is>
      </c>
      <c r="K125" s="48" t="n">
        <v>122.39</v>
      </c>
      <c r="L125" s="48" t="n">
        <v>0.24</v>
      </c>
      <c r="M125" s="48" t="n">
        <v>0.00196</v>
      </c>
      <c r="N125" s="48" t="n">
        <v>3</v>
      </c>
    </row>
    <row r="126">
      <c r="A126" s="48" t="inlineStr">
        <is>
          <t>2026-04-17</t>
        </is>
      </c>
      <c r="B126" s="48" t="inlineStr">
        <is>
          <t>11:31</t>
        </is>
      </c>
      <c r="C126" s="48" t="inlineStr">
        <is>
          <t>ISRG</t>
        </is>
      </c>
      <c r="D126" s="48" t="n">
        <v>470.25</v>
      </c>
      <c r="E126" s="48" t="n">
        <v>476.1</v>
      </c>
      <c r="F126" s="48" t="n">
        <v>467.91</v>
      </c>
      <c r="G126" s="48" t="n">
        <v>1.7</v>
      </c>
      <c r="H126" s="48" t="n">
        <v>66</v>
      </c>
      <c r="I126" s="48" t="n">
        <v>67</v>
      </c>
      <c r="J126" s="48" t="inlineStr">
        <is>
          <t>LOSS</t>
        </is>
      </c>
      <c r="K126" s="48" t="n">
        <v>467.91</v>
      </c>
      <c r="L126" s="48" t="n">
        <v>-2.34</v>
      </c>
      <c r="M126" s="48" t="n">
        <v>-0.00498</v>
      </c>
      <c r="N126" s="48" t="n">
        <v>2</v>
      </c>
    </row>
    <row r="127">
      <c r="A127" s="48" t="inlineStr">
        <is>
          <t>2026-04-17</t>
        </is>
      </c>
      <c r="B127" s="48" t="inlineStr">
        <is>
          <t>11:31</t>
        </is>
      </c>
      <c r="C127" s="48" t="inlineStr">
        <is>
          <t>HOOD</t>
        </is>
      </c>
      <c r="D127" s="48" t="n">
        <v>92.38</v>
      </c>
      <c r="E127" s="48" t="n">
        <v>95.34999999999999</v>
      </c>
      <c r="F127" s="48" t="n">
        <v>91.19</v>
      </c>
      <c r="G127" s="48" t="n">
        <v>4.3</v>
      </c>
      <c r="H127" s="48" t="n">
        <v>64</v>
      </c>
      <c r="I127" s="48" t="n">
        <v>67</v>
      </c>
      <c r="J127" s="48" t="inlineStr">
        <is>
          <t>LOSS</t>
        </is>
      </c>
      <c r="K127" s="48" t="n">
        <v>91.19</v>
      </c>
      <c r="L127" s="48" t="n">
        <v>-1.19</v>
      </c>
      <c r="M127" s="48" t="n">
        <v>-0.01288</v>
      </c>
      <c r="N127" s="48" t="n">
        <v>5</v>
      </c>
    </row>
    <row r="128">
      <c r="A128" s="48" t="inlineStr">
        <is>
          <t>2026-04-17</t>
        </is>
      </c>
      <c r="B128" s="48" t="inlineStr">
        <is>
          <t>12:02</t>
        </is>
      </c>
      <c r="C128" s="48" t="inlineStr">
        <is>
          <t>LOW</t>
        </is>
      </c>
      <c r="D128" s="48" t="n">
        <v>253.82</v>
      </c>
      <c r="E128" s="48" t="n">
        <v>257.12</v>
      </c>
      <c r="F128" s="48" t="n">
        <v>252.5</v>
      </c>
      <c r="G128" s="48" t="n">
        <v>1.6</v>
      </c>
      <c r="H128" s="48" t="n">
        <v>67</v>
      </c>
      <c r="I128" s="48" t="n">
        <v>81</v>
      </c>
      <c r="J128" s="48" t="inlineStr">
        <is>
          <t>LOSS</t>
        </is>
      </c>
      <c r="K128" s="48" t="n">
        <v>252.5</v>
      </c>
      <c r="L128" s="48" t="n">
        <v>-1.32</v>
      </c>
      <c r="M128" s="48" t="n">
        <v>-0.0052</v>
      </c>
      <c r="N128" s="48" t="n">
        <v>2</v>
      </c>
    </row>
    <row r="129">
      <c r="A129" s="48" t="inlineStr">
        <is>
          <t>2026-04-17</t>
        </is>
      </c>
      <c r="B129" s="48" t="inlineStr">
        <is>
          <t>12:02</t>
        </is>
      </c>
      <c r="C129" s="48" t="inlineStr">
        <is>
          <t>ZTS</t>
        </is>
      </c>
      <c r="D129" s="48" t="n">
        <v>122.9</v>
      </c>
      <c r="E129" s="48" t="n">
        <v>124.62</v>
      </c>
      <c r="F129" s="48" t="n">
        <v>122.21</v>
      </c>
      <c r="G129" s="48" t="n">
        <v>1.8</v>
      </c>
      <c r="H129" s="48" t="n">
        <v>69</v>
      </c>
      <c r="I129" s="48" t="n">
        <v>71</v>
      </c>
      <c r="J129" s="48" t="inlineStr">
        <is>
          <t>LOSS</t>
        </is>
      </c>
      <c r="K129" s="48" t="n">
        <v>122.21</v>
      </c>
      <c r="L129" s="48" t="n">
        <v>-0.6899999999999999</v>
      </c>
      <c r="M129" s="48" t="n">
        <v>-0.00561</v>
      </c>
      <c r="N129" s="48" t="n">
        <v>4</v>
      </c>
    </row>
    <row r="130">
      <c r="A130" s="48" t="inlineStr">
        <is>
          <t>2026-04-17</t>
        </is>
      </c>
      <c r="B130" s="48" t="inlineStr">
        <is>
          <t>12:02</t>
        </is>
      </c>
      <c r="C130" s="48" t="inlineStr">
        <is>
          <t>QCOM</t>
        </is>
      </c>
      <c r="D130" s="48" t="n">
        <v>136.36</v>
      </c>
      <c r="E130" s="48" t="n">
        <v>137.54</v>
      </c>
      <c r="F130" s="48" t="n">
        <v>135.89</v>
      </c>
      <c r="G130" s="48" t="n">
        <v>1.4</v>
      </c>
      <c r="H130" s="48" t="n">
        <v>62</v>
      </c>
      <c r="I130" s="48" t="n">
        <v>68</v>
      </c>
      <c r="J130" s="48" t="inlineStr">
        <is>
          <t>LOSS</t>
        </is>
      </c>
      <c r="K130" s="48" t="n">
        <v>135.89</v>
      </c>
      <c r="L130" s="48" t="n">
        <v>-0.47</v>
      </c>
      <c r="M130" s="48" t="n">
        <v>-0.00345</v>
      </c>
      <c r="N130" s="48" t="n">
        <v>2</v>
      </c>
    </row>
    <row r="131">
      <c r="A131" s="48" t="inlineStr">
        <is>
          <t>2026-04-17</t>
        </is>
      </c>
      <c r="B131" s="48" t="inlineStr">
        <is>
          <t>12:02</t>
        </is>
      </c>
      <c r="C131" s="48" t="inlineStr">
        <is>
          <t>BKNG</t>
        </is>
      </c>
      <c r="D131" s="48" t="n">
        <v>191.88</v>
      </c>
      <c r="E131" s="48" t="n">
        <v>194.98</v>
      </c>
      <c r="F131" s="48" t="n">
        <v>190.64</v>
      </c>
      <c r="G131" s="48" t="n">
        <v>1.6</v>
      </c>
      <c r="H131" s="48" t="n">
        <v>61</v>
      </c>
      <c r="I131" s="48" t="n">
        <v>65</v>
      </c>
      <c r="J131" s="48" t="inlineStr">
        <is>
          <t>LOSS</t>
        </is>
      </c>
      <c r="K131" s="48" t="n">
        <v>190.64</v>
      </c>
      <c r="L131" s="48" t="n">
        <v>-1.24</v>
      </c>
      <c r="M131" s="48" t="n">
        <v>-0.00646</v>
      </c>
      <c r="N131" s="48" t="n">
        <v>3</v>
      </c>
    </row>
    <row r="132">
      <c r="A132" s="48" t="inlineStr">
        <is>
          <t>2026-04-17</t>
        </is>
      </c>
      <c r="B132" s="48" t="inlineStr">
        <is>
          <t>12:02</t>
        </is>
      </c>
      <c r="C132" s="48" t="inlineStr">
        <is>
          <t>HD</t>
        </is>
      </c>
      <c r="D132" s="48" t="n">
        <v>350.54</v>
      </c>
      <c r="E132" s="48" t="n">
        <v>354.49</v>
      </c>
      <c r="F132" s="48" t="n">
        <v>348.96</v>
      </c>
      <c r="G132" s="48" t="n">
        <v>2.3</v>
      </c>
      <c r="H132" s="48" t="n">
        <v>69</v>
      </c>
      <c r="I132" s="48" t="n">
        <v>65</v>
      </c>
      <c r="J132" s="48" t="inlineStr">
        <is>
          <t>LOSS</t>
        </is>
      </c>
      <c r="K132" s="48" t="n">
        <v>348.96</v>
      </c>
      <c r="L132" s="48" t="n">
        <v>-1.58</v>
      </c>
      <c r="M132" s="48" t="n">
        <v>-0.00451</v>
      </c>
      <c r="N132" s="48" t="n">
        <v>1</v>
      </c>
    </row>
    <row r="133">
      <c r="A133" s="48" t="inlineStr">
        <is>
          <t>2026-04-17</t>
        </is>
      </c>
      <c r="B133" s="48" t="inlineStr">
        <is>
          <t>12:02</t>
        </is>
      </c>
      <c r="C133" s="48" t="inlineStr">
        <is>
          <t>AMGN</t>
        </is>
      </c>
      <c r="D133" s="48" t="n">
        <v>355.54</v>
      </c>
      <c r="E133" s="48" t="n">
        <v>359.24</v>
      </c>
      <c r="F133" s="48" t="n">
        <v>354.06</v>
      </c>
      <c r="G133" s="48" t="n">
        <v>2.3</v>
      </c>
      <c r="H133" s="48" t="n">
        <v>74</v>
      </c>
      <c r="I133" s="48" t="n">
        <v>65</v>
      </c>
      <c r="J133" s="48" t="inlineStr">
        <is>
          <t>EOD</t>
        </is>
      </c>
      <c r="K133" s="48" t="n">
        <v>355.23</v>
      </c>
      <c r="L133" s="48" t="n">
        <v>-0.31</v>
      </c>
      <c r="M133" s="48" t="n">
        <v>-0.00087</v>
      </c>
      <c r="N133" s="48" t="n">
        <v>1</v>
      </c>
    </row>
    <row r="134">
      <c r="A134" s="48" t="inlineStr">
        <is>
          <t>2026-04-17</t>
        </is>
      </c>
      <c r="B134" s="48" t="inlineStr">
        <is>
          <t>12:02</t>
        </is>
      </c>
      <c r="C134" s="48" t="inlineStr">
        <is>
          <t>SHW</t>
        </is>
      </c>
      <c r="D134" s="48" t="n">
        <v>349.04</v>
      </c>
      <c r="E134" s="48" t="n">
        <v>353.74</v>
      </c>
      <c r="F134" s="48" t="n">
        <v>347.16</v>
      </c>
      <c r="G134" s="48" t="n">
        <v>2.2</v>
      </c>
      <c r="H134" s="48" t="n">
        <v>70</v>
      </c>
      <c r="I134" s="48" t="n">
        <v>65</v>
      </c>
      <c r="J134" s="48" t="inlineStr">
        <is>
          <t>LOSS</t>
        </is>
      </c>
      <c r="K134" s="48" t="n">
        <v>347.16</v>
      </c>
      <c r="L134" s="48" t="n">
        <v>-1.88</v>
      </c>
      <c r="M134" s="48" t="n">
        <v>-0.00539</v>
      </c>
      <c r="N134" s="48" t="n">
        <v>1</v>
      </c>
    </row>
    <row r="135">
      <c r="A135" s="48" t="inlineStr">
        <is>
          <t>2026-04-17</t>
        </is>
      </c>
      <c r="B135" s="48" t="inlineStr">
        <is>
          <t>12:02</t>
        </is>
      </c>
      <c r="C135" s="48" t="inlineStr">
        <is>
          <t>COIN</t>
        </is>
      </c>
      <c r="D135" s="48" t="n">
        <v>212.97</v>
      </c>
      <c r="E135" s="48" t="n">
        <v>219.94</v>
      </c>
      <c r="F135" s="48" t="n">
        <v>210.18</v>
      </c>
      <c r="G135" s="48" t="n">
        <v>2.1</v>
      </c>
      <c r="H135" s="48" t="n">
        <v>63</v>
      </c>
      <c r="I135" s="48" t="n">
        <v>64</v>
      </c>
      <c r="J135" s="48" t="inlineStr">
        <is>
          <t>LOSS</t>
        </is>
      </c>
      <c r="K135" s="48" t="n">
        <v>210.18</v>
      </c>
      <c r="L135" s="48" t="n">
        <v>-2.79</v>
      </c>
      <c r="M135" s="48" t="n">
        <v>-0.0131</v>
      </c>
      <c r="N135" s="48" t="n">
        <v>1</v>
      </c>
    </row>
    <row r="136">
      <c r="A136" s="48" t="inlineStr">
        <is>
          <t>2026-04-17</t>
        </is>
      </c>
      <c r="B136" s="48" t="inlineStr">
        <is>
          <t>12:02</t>
        </is>
      </c>
      <c r="C136" s="48" t="inlineStr">
        <is>
          <t>USB</t>
        </is>
      </c>
      <c r="D136" s="48" t="n">
        <v>57.27</v>
      </c>
      <c r="E136" s="48" t="n">
        <v>57.9</v>
      </c>
      <c r="F136" s="48" t="n">
        <v>57.02</v>
      </c>
      <c r="G136" s="48" t="n">
        <v>1.7</v>
      </c>
      <c r="H136" s="48" t="n">
        <v>79</v>
      </c>
      <c r="I136" s="48" t="n">
        <v>64</v>
      </c>
      <c r="J136" s="48" t="inlineStr">
        <is>
          <t>LOSS</t>
        </is>
      </c>
      <c r="K136" s="48" t="n">
        <v>57.02</v>
      </c>
      <c r="L136" s="48" t="n">
        <v>-0.25</v>
      </c>
      <c r="M136" s="48" t="n">
        <v>-0.00437</v>
      </c>
      <c r="N136" s="48" t="n">
        <v>1</v>
      </c>
    </row>
    <row r="137">
      <c r="A137" s="48" t="inlineStr">
        <is>
          <t>2026-04-17</t>
        </is>
      </c>
      <c r="B137" s="48" t="inlineStr">
        <is>
          <t>12:02</t>
        </is>
      </c>
      <c r="C137" s="48" t="inlineStr">
        <is>
          <t>GM</t>
        </is>
      </c>
      <c r="D137" s="48" t="n">
        <v>82.29000000000001</v>
      </c>
      <c r="E137" s="48" t="n">
        <v>83.36</v>
      </c>
      <c r="F137" s="48" t="n">
        <v>81.86</v>
      </c>
      <c r="G137" s="48" t="n">
        <v>1.5</v>
      </c>
      <c r="H137" s="48" t="n">
        <v>72</v>
      </c>
      <c r="I137" s="48" t="n">
        <v>62</v>
      </c>
      <c r="J137" s="48" t="inlineStr">
        <is>
          <t>LOSS</t>
        </is>
      </c>
      <c r="K137" s="48" t="n">
        <v>81.86</v>
      </c>
      <c r="L137" s="48" t="n">
        <v>-0.43</v>
      </c>
      <c r="M137" s="48" t="n">
        <v>-0.00523</v>
      </c>
      <c r="N137" s="48" t="n">
        <v>1</v>
      </c>
    </row>
    <row r="138">
      <c r="A138" s="48" t="inlineStr">
        <is>
          <t>2026-04-17</t>
        </is>
      </c>
      <c r="B138" s="48" t="inlineStr">
        <is>
          <t>12:17</t>
        </is>
      </c>
      <c r="C138" s="48" t="inlineStr">
        <is>
          <t>LOW</t>
        </is>
      </c>
      <c r="D138" s="48" t="n">
        <v>253.06</v>
      </c>
      <c r="E138" s="48" t="n">
        <v>256.11</v>
      </c>
      <c r="F138" s="48" t="n">
        <v>251.84</v>
      </c>
      <c r="G138" s="48" t="n">
        <v>1.8</v>
      </c>
      <c r="H138" s="48" t="n">
        <v>58</v>
      </c>
      <c r="I138" s="48" t="n">
        <v>75</v>
      </c>
      <c r="J138" s="48" t="inlineStr">
        <is>
          <t>LOSS</t>
        </is>
      </c>
      <c r="K138" s="48" t="n">
        <v>251.84</v>
      </c>
      <c r="L138" s="48" t="n">
        <v>-1.22</v>
      </c>
      <c r="M138" s="48" t="n">
        <v>-0.00482</v>
      </c>
      <c r="N138" s="48" t="n">
        <v>3</v>
      </c>
    </row>
    <row r="139">
      <c r="A139" s="48" t="inlineStr">
        <is>
          <t>2026-04-17</t>
        </is>
      </c>
      <c r="B139" s="48" t="inlineStr">
        <is>
          <t>12:17</t>
        </is>
      </c>
      <c r="C139" s="48" t="inlineStr">
        <is>
          <t>TMO</t>
        </is>
      </c>
      <c r="D139" s="48" t="n">
        <v>528.72</v>
      </c>
      <c r="E139" s="48" t="n">
        <v>534.42</v>
      </c>
      <c r="F139" s="48" t="n">
        <v>526.4400000000001</v>
      </c>
      <c r="G139" s="48" t="n">
        <v>1.7</v>
      </c>
      <c r="H139" s="48" t="n">
        <v>61</v>
      </c>
      <c r="I139" s="48" t="n">
        <v>72</v>
      </c>
      <c r="J139" s="48" t="inlineStr">
        <is>
          <t>LOSS</t>
        </is>
      </c>
      <c r="K139" s="48" t="n">
        <v>526.4400000000001</v>
      </c>
      <c r="L139" s="48" t="n">
        <v>-2.28</v>
      </c>
      <c r="M139" s="48" t="n">
        <v>-0.00431</v>
      </c>
      <c r="N139" s="48" t="n">
        <v>2</v>
      </c>
    </row>
    <row r="140">
      <c r="A140" s="48" t="inlineStr">
        <is>
          <t>2026-04-17</t>
        </is>
      </c>
      <c r="B140" s="48" t="inlineStr">
        <is>
          <t>12:17</t>
        </is>
      </c>
      <c r="C140" s="48" t="inlineStr">
        <is>
          <t>WMT</t>
        </is>
      </c>
      <c r="D140" s="48" t="n">
        <v>125.6</v>
      </c>
      <c r="E140" s="48" t="n">
        <v>126.55</v>
      </c>
      <c r="F140" s="48" t="n">
        <v>125.22</v>
      </c>
      <c r="G140" s="48" t="n">
        <v>1.9</v>
      </c>
      <c r="H140" s="48" t="n">
        <v>73</v>
      </c>
      <c r="I140" s="48" t="n">
        <v>67</v>
      </c>
      <c r="J140" s="48" t="inlineStr">
        <is>
          <t>WIN</t>
        </is>
      </c>
      <c r="K140" s="48" t="n">
        <v>126.55</v>
      </c>
      <c r="L140" s="48" t="n">
        <v>0.95</v>
      </c>
      <c r="M140" s="48" t="n">
        <v>0.00756</v>
      </c>
      <c r="N140" s="48" t="n">
        <v>1</v>
      </c>
    </row>
    <row r="141">
      <c r="A141" s="48" t="inlineStr">
        <is>
          <t>2026-04-17</t>
        </is>
      </c>
      <c r="B141" s="48" t="inlineStr">
        <is>
          <t>12:17</t>
        </is>
      </c>
      <c r="C141" s="48" t="inlineStr">
        <is>
          <t>CI</t>
        </is>
      </c>
      <c r="D141" s="48" t="n">
        <v>279.35</v>
      </c>
      <c r="E141" s="48" t="n">
        <v>282.75</v>
      </c>
      <c r="F141" s="48" t="n">
        <v>277.99</v>
      </c>
      <c r="G141" s="48" t="n">
        <v>2.5</v>
      </c>
      <c r="H141" s="48" t="n">
        <v>65</v>
      </c>
      <c r="I141" s="48" t="n">
        <v>66</v>
      </c>
      <c r="J141" s="48" t="inlineStr">
        <is>
          <t>LOSS</t>
        </is>
      </c>
      <c r="K141" s="48" t="n">
        <v>277.99</v>
      </c>
      <c r="L141" s="48" t="n">
        <v>-1.36</v>
      </c>
      <c r="M141" s="48" t="n">
        <v>-0.00487</v>
      </c>
      <c r="N141" s="48" t="n">
        <v>3</v>
      </c>
    </row>
    <row r="142">
      <c r="A142" s="48" t="inlineStr">
        <is>
          <t>2026-04-17</t>
        </is>
      </c>
      <c r="B142" s="48" t="inlineStr">
        <is>
          <t>12:17</t>
        </is>
      </c>
      <c r="C142" s="48" t="inlineStr">
        <is>
          <t>BA</t>
        </is>
      </c>
      <c r="D142" s="48" t="n">
        <v>226.91</v>
      </c>
      <c r="E142" s="48" t="n">
        <v>229.76</v>
      </c>
      <c r="F142" s="48" t="n">
        <v>225.77</v>
      </c>
      <c r="G142" s="48" t="n">
        <v>1.7</v>
      </c>
      <c r="H142" s="48" t="n">
        <v>57</v>
      </c>
      <c r="I142" s="48" t="n">
        <v>66</v>
      </c>
      <c r="J142" s="48" t="inlineStr">
        <is>
          <t>LOSS</t>
        </is>
      </c>
      <c r="K142" s="48" t="n">
        <v>225.77</v>
      </c>
      <c r="L142" s="48" t="n">
        <v>-1.14</v>
      </c>
      <c r="M142" s="48" t="n">
        <v>-0.00502</v>
      </c>
      <c r="N142" s="48" t="n">
        <v>2</v>
      </c>
    </row>
    <row r="143">
      <c r="A143" s="48" t="inlineStr">
        <is>
          <t>2026-04-17</t>
        </is>
      </c>
      <c r="B143" s="48" t="inlineStr">
        <is>
          <t>12:17</t>
        </is>
      </c>
      <c r="C143" s="48" t="inlineStr">
        <is>
          <t>ZTS</t>
        </is>
      </c>
      <c r="D143" s="48" t="n">
        <v>122.52</v>
      </c>
      <c r="E143" s="48" t="n">
        <v>124.17</v>
      </c>
      <c r="F143" s="48" t="n">
        <v>121.86</v>
      </c>
      <c r="G143" s="48" t="n">
        <v>1.6</v>
      </c>
      <c r="H143" s="48" t="n">
        <v>60</v>
      </c>
      <c r="I143" s="48" t="n">
        <v>65</v>
      </c>
      <c r="J143" s="48" t="inlineStr">
        <is>
          <t>LOSS</t>
        </is>
      </c>
      <c r="K143" s="48" t="n">
        <v>121.86</v>
      </c>
      <c r="L143" s="48" t="n">
        <v>-0.66</v>
      </c>
      <c r="M143" s="48" t="n">
        <v>-0.00539</v>
      </c>
      <c r="N143" s="48" t="n">
        <v>5</v>
      </c>
    </row>
    <row r="144">
      <c r="A144" s="48" t="inlineStr">
        <is>
          <t>2026-04-17</t>
        </is>
      </c>
      <c r="B144" s="48" t="inlineStr">
        <is>
          <t>12:17</t>
        </is>
      </c>
      <c r="C144" s="48" t="inlineStr">
        <is>
          <t>EMR</t>
        </is>
      </c>
      <c r="D144" s="48" t="n">
        <v>146.16</v>
      </c>
      <c r="E144" s="48" t="n">
        <v>147.78</v>
      </c>
      <c r="F144" s="48" t="n">
        <v>145.51</v>
      </c>
      <c r="G144" s="48" t="n">
        <v>1.7</v>
      </c>
      <c r="H144" s="48" t="n">
        <v>67</v>
      </c>
      <c r="I144" s="48" t="n">
        <v>63</v>
      </c>
      <c r="J144" s="48" t="inlineStr">
        <is>
          <t>LOSS</t>
        </is>
      </c>
      <c r="K144" s="48" t="n">
        <v>145.51</v>
      </c>
      <c r="L144" s="48" t="n">
        <v>-0.65</v>
      </c>
      <c r="M144" s="48" t="n">
        <v>-0.00445</v>
      </c>
      <c r="N144" s="48" t="n">
        <v>1</v>
      </c>
    </row>
    <row r="145">
      <c r="A145" s="48" t="inlineStr">
        <is>
          <t>2026-04-17</t>
        </is>
      </c>
      <c r="B145" s="48" t="inlineStr">
        <is>
          <t>12:31</t>
        </is>
      </c>
      <c r="C145" s="48" t="inlineStr">
        <is>
          <t>PNC</t>
        </is>
      </c>
      <c r="D145" s="48" t="n">
        <v>224.9</v>
      </c>
      <c r="E145" s="48" t="n">
        <v>226.72</v>
      </c>
      <c r="F145" s="48" t="n">
        <v>224.17</v>
      </c>
      <c r="G145" s="48" t="n">
        <v>1.4</v>
      </c>
      <c r="H145" s="48" t="n">
        <v>67</v>
      </c>
      <c r="I145" s="48" t="n">
        <v>72</v>
      </c>
      <c r="J145" s="48" t="inlineStr">
        <is>
          <t>LOSS</t>
        </is>
      </c>
      <c r="K145" s="48" t="n">
        <v>224.17</v>
      </c>
      <c r="L145" s="48" t="n">
        <v>-0.73</v>
      </c>
      <c r="M145" s="48" t="n">
        <v>-0.00325</v>
      </c>
      <c r="N145" s="48" t="n">
        <v>1</v>
      </c>
    </row>
    <row r="146">
      <c r="A146" s="48" t="inlineStr">
        <is>
          <t>2026-04-17</t>
        </is>
      </c>
      <c r="B146" s="48" t="inlineStr">
        <is>
          <t>12:31</t>
        </is>
      </c>
      <c r="C146" s="48" t="inlineStr">
        <is>
          <t>MMM</t>
        </is>
      </c>
      <c r="D146" s="48" t="n">
        <v>156.01</v>
      </c>
      <c r="E146" s="48" t="n">
        <v>157.41</v>
      </c>
      <c r="F146" s="48" t="n">
        <v>155.45</v>
      </c>
      <c r="G146" s="48" t="n">
        <v>1.4</v>
      </c>
      <c r="H146" s="48" t="n">
        <v>64</v>
      </c>
      <c r="I146" s="48" t="n">
        <v>66</v>
      </c>
      <c r="J146" s="48" t="inlineStr">
        <is>
          <t>LOSS</t>
        </is>
      </c>
      <c r="K146" s="48" t="n">
        <v>155.45</v>
      </c>
      <c r="L146" s="48" t="n">
        <v>-0.5600000000000001</v>
      </c>
      <c r="M146" s="48" t="n">
        <v>-0.00359</v>
      </c>
      <c r="N146" s="48" t="n">
        <v>2</v>
      </c>
    </row>
    <row r="147">
      <c r="A147" s="48" t="inlineStr">
        <is>
          <t>2026-04-17</t>
        </is>
      </c>
      <c r="B147" s="48" t="inlineStr">
        <is>
          <t>12:31</t>
        </is>
      </c>
      <c r="C147" s="48" t="inlineStr">
        <is>
          <t>ZTS</t>
        </is>
      </c>
      <c r="D147" s="48" t="n">
        <v>122.67</v>
      </c>
      <c r="E147" s="48" t="n">
        <v>124.22</v>
      </c>
      <c r="F147" s="48" t="n">
        <v>122.05</v>
      </c>
      <c r="G147" s="48" t="n">
        <v>1.5</v>
      </c>
      <c r="H147" s="48" t="n">
        <v>61</v>
      </c>
      <c r="I147" s="48" t="n">
        <v>64</v>
      </c>
      <c r="J147" s="48" t="inlineStr">
        <is>
          <t>LOSS</t>
        </is>
      </c>
      <c r="K147" s="48" t="n">
        <v>122.05</v>
      </c>
      <c r="L147" s="48" t="n">
        <v>-0.62</v>
      </c>
      <c r="M147" s="48" t="n">
        <v>-0.00505</v>
      </c>
      <c r="N147" s="48" t="n">
        <v>6</v>
      </c>
    </row>
    <row r="148">
      <c r="A148" s="48" t="inlineStr">
        <is>
          <t>2026-04-17</t>
        </is>
      </c>
      <c r="B148" s="48" t="inlineStr">
        <is>
          <t>12:31</t>
        </is>
      </c>
      <c r="C148" s="48" t="inlineStr">
        <is>
          <t>PG</t>
        </is>
      </c>
      <c r="D148" s="48" t="n">
        <v>147.2</v>
      </c>
      <c r="E148" s="48" t="n">
        <v>148.32</v>
      </c>
      <c r="F148" s="48" t="n">
        <v>146.75</v>
      </c>
      <c r="G148" s="48" t="n">
        <v>1.6</v>
      </c>
      <c r="H148" s="48" t="n">
        <v>60</v>
      </c>
      <c r="I148" s="48" t="n">
        <v>60</v>
      </c>
      <c r="J148" s="48" t="inlineStr">
        <is>
          <t>LOSS</t>
        </is>
      </c>
      <c r="K148" s="48" t="n">
        <v>146.75</v>
      </c>
      <c r="L148" s="48" t="n">
        <v>-0.45</v>
      </c>
      <c r="M148" s="48" t="n">
        <v>-0.00306</v>
      </c>
      <c r="N148" s="48" t="n">
        <v>2</v>
      </c>
    </row>
    <row r="149">
      <c r="A149" s="48" t="inlineStr">
        <is>
          <t>2026-04-17</t>
        </is>
      </c>
      <c r="B149" s="48" t="inlineStr">
        <is>
          <t>13:01</t>
        </is>
      </c>
      <c r="C149" s="48" t="inlineStr">
        <is>
          <t>LOW</t>
        </is>
      </c>
      <c r="D149" s="48" t="n">
        <v>252.97</v>
      </c>
      <c r="E149" s="48" t="n">
        <v>255.46</v>
      </c>
      <c r="F149" s="48" t="n">
        <v>251.96</v>
      </c>
      <c r="G149" s="48" t="n">
        <v>1.5</v>
      </c>
      <c r="H149" s="48" t="n">
        <v>57</v>
      </c>
      <c r="I149" s="48" t="n">
        <v>80</v>
      </c>
      <c r="J149" s="48" t="inlineStr">
        <is>
          <t>LOSS</t>
        </is>
      </c>
      <c r="K149" s="48" t="n">
        <v>251.96</v>
      </c>
      <c r="L149" s="48" t="n">
        <v>-1.01</v>
      </c>
      <c r="M149" s="48" t="n">
        <v>-0.00399</v>
      </c>
      <c r="N149" s="48" t="n">
        <v>4</v>
      </c>
    </row>
    <row r="150">
      <c r="A150" s="48" t="inlineStr">
        <is>
          <t>2026-04-17</t>
        </is>
      </c>
      <c r="B150" s="48" t="inlineStr">
        <is>
          <t>13:01</t>
        </is>
      </c>
      <c r="C150" s="48" t="inlineStr">
        <is>
          <t>CI</t>
        </is>
      </c>
      <c r="D150" s="48" t="n">
        <v>279.74</v>
      </c>
      <c r="E150" s="48" t="n">
        <v>282.39</v>
      </c>
      <c r="F150" s="48" t="n">
        <v>278.68</v>
      </c>
      <c r="G150" s="48" t="n">
        <v>2.1</v>
      </c>
      <c r="H150" s="48" t="n">
        <v>65</v>
      </c>
      <c r="I150" s="48" t="n">
        <v>64</v>
      </c>
      <c r="J150" s="48" t="inlineStr">
        <is>
          <t>LOSS</t>
        </is>
      </c>
      <c r="K150" s="48" t="n">
        <v>278.68</v>
      </c>
      <c r="L150" s="48" t="n">
        <v>-1.06</v>
      </c>
      <c r="M150" s="48" t="n">
        <v>-0.00379</v>
      </c>
      <c r="N150" s="48" t="n">
        <v>4</v>
      </c>
    </row>
    <row r="151">
      <c r="A151" s="48" t="inlineStr">
        <is>
          <t>2026-04-17</t>
        </is>
      </c>
      <c r="B151" s="48" t="inlineStr">
        <is>
          <t>13:01</t>
        </is>
      </c>
      <c r="C151" s="48" t="inlineStr">
        <is>
          <t>SHW</t>
        </is>
      </c>
      <c r="D151" s="48" t="n">
        <v>349.24</v>
      </c>
      <c r="E151" s="48" t="n">
        <v>352.54</v>
      </c>
      <c r="F151" s="48" t="n">
        <v>347.92</v>
      </c>
      <c r="G151" s="48" t="n">
        <v>1.5</v>
      </c>
      <c r="H151" s="48" t="n">
        <v>65</v>
      </c>
      <c r="I151" s="48" t="n">
        <v>62</v>
      </c>
      <c r="J151" s="48" t="inlineStr">
        <is>
          <t>LOSS</t>
        </is>
      </c>
      <c r="K151" s="48" t="n">
        <v>347.92</v>
      </c>
      <c r="L151" s="48" t="n">
        <v>-1.32</v>
      </c>
      <c r="M151" s="48" t="n">
        <v>-0.00378</v>
      </c>
      <c r="N151" s="48" t="n">
        <v>2</v>
      </c>
    </row>
    <row r="152">
      <c r="A152" s="48" t="inlineStr">
        <is>
          <t>2026-04-17</t>
        </is>
      </c>
      <c r="B152" s="48" t="inlineStr">
        <is>
          <t>13:31</t>
        </is>
      </c>
      <c r="C152" s="48" t="inlineStr">
        <is>
          <t>LOW</t>
        </is>
      </c>
      <c r="D152" s="48" t="n">
        <v>252.58</v>
      </c>
      <c r="E152" s="48" t="n">
        <v>255.1</v>
      </c>
      <c r="F152" s="48" t="n">
        <v>251.57</v>
      </c>
      <c r="G152" s="48" t="n">
        <v>2.2</v>
      </c>
      <c r="H152" s="48" t="n">
        <v>51</v>
      </c>
      <c r="I152" s="48" t="n">
        <v>66</v>
      </c>
      <c r="J152" s="48" t="inlineStr">
        <is>
          <t>LOSS</t>
        </is>
      </c>
      <c r="K152" s="48" t="n">
        <v>251.57</v>
      </c>
      <c r="L152" s="48" t="n">
        <v>-1.01</v>
      </c>
      <c r="M152" s="48" t="n">
        <v>-0.004</v>
      </c>
      <c r="N152" s="48" t="n">
        <v>5</v>
      </c>
    </row>
    <row r="153">
      <c r="A153" s="48" t="inlineStr">
        <is>
          <t>2026-04-17</t>
        </is>
      </c>
      <c r="B153" s="48" t="inlineStr">
        <is>
          <t>13:31</t>
        </is>
      </c>
      <c r="C153" s="48" t="inlineStr">
        <is>
          <t>NET</t>
        </is>
      </c>
      <c r="D153" s="48" t="n">
        <v>197.72</v>
      </c>
      <c r="E153" s="48" t="n">
        <v>201.22</v>
      </c>
      <c r="F153" s="48" t="n">
        <v>196.32</v>
      </c>
      <c r="G153" s="48" t="n">
        <v>1.4</v>
      </c>
      <c r="H153" s="48" t="n">
        <v>63</v>
      </c>
      <c r="I153" s="48" t="n">
        <v>62</v>
      </c>
      <c r="J153" s="48" t="inlineStr">
        <is>
          <t>EOD</t>
        </is>
      </c>
      <c r="K153" s="48" t="n">
        <v>201.05</v>
      </c>
      <c r="L153" s="48" t="n">
        <v>3.33</v>
      </c>
      <c r="M153" s="48" t="n">
        <v>0.01684</v>
      </c>
      <c r="N153" s="48" t="n">
        <v>1</v>
      </c>
    </row>
    <row r="154">
      <c r="A154" s="48" t="inlineStr">
        <is>
          <t>2026-04-17</t>
        </is>
      </c>
      <c r="B154" s="48" t="inlineStr">
        <is>
          <t>14:01</t>
        </is>
      </c>
      <c r="C154" s="48" t="inlineStr">
        <is>
          <t>ARM</t>
        </is>
      </c>
      <c r="D154" s="48" t="n">
        <v>167.22</v>
      </c>
      <c r="E154" s="48" t="n">
        <v>170.57</v>
      </c>
      <c r="F154" s="48" t="n">
        <v>165.88</v>
      </c>
      <c r="G154" s="48" t="n">
        <v>3.5</v>
      </c>
      <c r="H154" s="48" t="n">
        <v>74</v>
      </c>
      <c r="I154" s="48" t="n">
        <v>78</v>
      </c>
      <c r="J154" s="48" t="inlineStr">
        <is>
          <t>LOSS</t>
        </is>
      </c>
      <c r="K154" s="48" t="n">
        <v>165.88</v>
      </c>
      <c r="L154" s="48" t="n">
        <v>-1.34</v>
      </c>
      <c r="M154" s="48" t="n">
        <v>-0.00801</v>
      </c>
      <c r="N154" s="48" t="n">
        <v>1</v>
      </c>
    </row>
    <row r="155">
      <c r="A155" s="48" t="inlineStr">
        <is>
          <t>2026-04-17</t>
        </is>
      </c>
      <c r="B155" s="48" t="inlineStr">
        <is>
          <t>14:01</t>
        </is>
      </c>
      <c r="C155" s="48" t="inlineStr">
        <is>
          <t>MCD</t>
        </is>
      </c>
      <c r="D155" s="48" t="n">
        <v>312.1</v>
      </c>
      <c r="E155" s="48" t="n">
        <v>313.8</v>
      </c>
      <c r="F155" s="48" t="n">
        <v>311.42</v>
      </c>
      <c r="G155" s="48" t="n">
        <v>2.1</v>
      </c>
      <c r="H155" s="48" t="n">
        <v>63</v>
      </c>
      <c r="I155" s="48" t="n">
        <v>64</v>
      </c>
      <c r="J155" s="48" t="inlineStr">
        <is>
          <t>LOSS</t>
        </is>
      </c>
      <c r="K155" s="48" t="n">
        <v>311.42</v>
      </c>
      <c r="L155" s="48" t="n">
        <v>-0.68</v>
      </c>
      <c r="M155" s="48" t="n">
        <v>-0.00218</v>
      </c>
      <c r="N155" s="48" t="n">
        <v>1</v>
      </c>
    </row>
    <row r="156">
      <c r="A156" s="48" t="inlineStr">
        <is>
          <t>2026-04-17</t>
        </is>
      </c>
      <c r="B156" s="48" t="inlineStr">
        <is>
          <t>14:01</t>
        </is>
      </c>
      <c r="C156" s="48" t="inlineStr">
        <is>
          <t>APD</t>
        </is>
      </c>
      <c r="D156" s="48" t="n">
        <v>293.96</v>
      </c>
      <c r="E156" s="48" t="n">
        <v>296.14</v>
      </c>
      <c r="F156" s="48" t="n">
        <v>293.09</v>
      </c>
      <c r="G156" s="48" t="n">
        <v>1.5</v>
      </c>
      <c r="H156" s="48" t="n">
        <v>57</v>
      </c>
      <c r="I156" s="48" t="n">
        <v>61</v>
      </c>
      <c r="J156" s="48" t="inlineStr">
        <is>
          <t>LOSS</t>
        </is>
      </c>
      <c r="K156" s="48" t="n">
        <v>293.09</v>
      </c>
      <c r="L156" s="48" t="n">
        <v>-0.87</v>
      </c>
      <c r="M156" s="48" t="n">
        <v>-0.00296</v>
      </c>
      <c r="N156" s="48" t="n">
        <v>1</v>
      </c>
    </row>
    <row r="157">
      <c r="A157" s="48" t="inlineStr">
        <is>
          <t>2026-04-17</t>
        </is>
      </c>
      <c r="B157" s="48" t="inlineStr">
        <is>
          <t>14:31</t>
        </is>
      </c>
      <c r="C157" s="48" t="inlineStr">
        <is>
          <t>MDB</t>
        </is>
      </c>
      <c r="D157" s="48" t="n">
        <v>262.71</v>
      </c>
      <c r="E157" s="48" t="n">
        <v>272.28</v>
      </c>
      <c r="F157" s="48" t="n">
        <v>258.88</v>
      </c>
      <c r="G157" s="48" t="n">
        <v>5.2</v>
      </c>
      <c r="H157" s="48" t="n">
        <v>69</v>
      </c>
      <c r="I157" s="48" t="n">
        <v>71</v>
      </c>
      <c r="J157" s="48" t="inlineStr">
        <is>
          <t>EOD</t>
        </is>
      </c>
      <c r="K157" s="48" t="n">
        <v>263.2</v>
      </c>
      <c r="L157" s="48" t="n">
        <v>0.49</v>
      </c>
      <c r="M157" s="48" t="n">
        <v>0.00185</v>
      </c>
      <c r="N157" s="48" t="n">
        <v>1</v>
      </c>
    </row>
    <row r="158">
      <c r="A158" s="48" t="inlineStr">
        <is>
          <t>2026-04-17</t>
        </is>
      </c>
      <c r="B158" s="48" t="inlineStr">
        <is>
          <t>15:01</t>
        </is>
      </c>
      <c r="C158" s="48" t="inlineStr">
        <is>
          <t>CSCO</t>
        </is>
      </c>
      <c r="D158" s="48" t="n">
        <v>86.37</v>
      </c>
      <c r="E158" s="48" t="n">
        <v>86.94</v>
      </c>
      <c r="F158" s="48" t="n">
        <v>86.14</v>
      </c>
      <c r="G158" s="48" t="n">
        <v>2.3</v>
      </c>
      <c r="H158" s="48" t="n">
        <v>70</v>
      </c>
      <c r="I158" s="48" t="n">
        <v>70</v>
      </c>
      <c r="J158" s="48" t="inlineStr">
        <is>
          <t>LOSS</t>
        </is>
      </c>
      <c r="K158" s="48" t="n">
        <v>86.14</v>
      </c>
      <c r="L158" s="48" t="n">
        <v>-0.23</v>
      </c>
      <c r="M158" s="48" t="n">
        <v>-0.00266</v>
      </c>
      <c r="N158" s="48" t="n">
        <v>1</v>
      </c>
    </row>
    <row r="159">
      <c r="A159" s="48" t="inlineStr">
        <is>
          <t>2026-04-17</t>
        </is>
      </c>
      <c r="B159" s="48" t="inlineStr">
        <is>
          <t>15:01</t>
        </is>
      </c>
      <c r="C159" s="48" t="inlineStr">
        <is>
          <t>FDX</t>
        </is>
      </c>
      <c r="D159" s="48" t="n">
        <v>392.35</v>
      </c>
      <c r="E159" s="48" t="n">
        <v>395.22</v>
      </c>
      <c r="F159" s="48" t="n">
        <v>391.2</v>
      </c>
      <c r="G159" s="48" t="n">
        <v>1.7</v>
      </c>
      <c r="H159" s="48" t="n">
        <v>68</v>
      </c>
      <c r="I159" s="48" t="n">
        <v>67</v>
      </c>
      <c r="J159" s="48" t="inlineStr">
        <is>
          <t>LOSS</t>
        </is>
      </c>
      <c r="K159" s="48" t="n">
        <v>391.2</v>
      </c>
      <c r="L159" s="48" t="n">
        <v>-1.15</v>
      </c>
      <c r="M159" s="48" t="n">
        <v>-0.00293</v>
      </c>
      <c r="N159" s="48" t="n">
        <v>2</v>
      </c>
    </row>
    <row r="160">
      <c r="A160" s="48" t="inlineStr">
        <is>
          <t>2026-04-17</t>
        </is>
      </c>
      <c r="B160" s="48" t="inlineStr">
        <is>
          <t>15:01</t>
        </is>
      </c>
      <c r="C160" s="48" t="inlineStr">
        <is>
          <t>MDB</t>
        </is>
      </c>
      <c r="D160" s="48" t="n">
        <v>261.71</v>
      </c>
      <c r="E160" s="48" t="n">
        <v>271.21</v>
      </c>
      <c r="F160" s="48" t="n">
        <v>257.91</v>
      </c>
      <c r="G160" s="48" t="n">
        <v>2.6</v>
      </c>
      <c r="H160" s="48" t="n">
        <v>59</v>
      </c>
      <c r="I160" s="48" t="n">
        <v>61</v>
      </c>
      <c r="J160" s="48" t="inlineStr">
        <is>
          <t>EOD</t>
        </is>
      </c>
      <c r="K160" s="48" t="n">
        <v>263.2</v>
      </c>
      <c r="L160" s="48" t="n">
        <v>1.49</v>
      </c>
      <c r="M160" s="48" t="n">
        <v>0.00567</v>
      </c>
      <c r="N160" s="48" t="n">
        <v>2</v>
      </c>
    </row>
    <row r="161">
      <c r="A161" t="inlineStr">
        <is>
          <t>2026-04-20</t>
        </is>
      </c>
      <c r="B161" t="inlineStr">
        <is>
          <t>11:51</t>
        </is>
      </c>
      <c r="C161" t="inlineStr">
        <is>
          <t>SQ</t>
        </is>
      </c>
      <c r="D161" t="n">
        <v>71.26000000000001</v>
      </c>
      <c r="E161" t="n">
        <v>72.09</v>
      </c>
      <c r="F161" t="n">
        <v>70.93000000000001</v>
      </c>
      <c r="G161" t="n">
        <v>4</v>
      </c>
      <c r="H161" t="n">
        <v>51</v>
      </c>
      <c r="I161" t="n">
        <v>63</v>
      </c>
      <c r="J161" t="inlineStr">
        <is>
          <t>WIN</t>
        </is>
      </c>
      <c r="K161" t="n">
        <v>72.09</v>
      </c>
      <c r="L161" t="n">
        <v>0.83</v>
      </c>
      <c r="M161" t="n">
        <v>0.01164748807184954</v>
      </c>
      <c r="N161" t="n">
        <v>1</v>
      </c>
    </row>
    <row r="162">
      <c r="A162" t="inlineStr">
        <is>
          <t>2026-04-20</t>
        </is>
      </c>
      <c r="B162" t="inlineStr">
        <is>
          <t>11:51</t>
        </is>
      </c>
      <c r="C162" t="inlineStr">
        <is>
          <t>APLD</t>
        </is>
      </c>
      <c r="D162" t="n">
        <v>32.36</v>
      </c>
      <c r="E162" t="n">
        <v>33.94</v>
      </c>
      <c r="F162" t="n">
        <v>31.73</v>
      </c>
      <c r="G162" t="n">
        <v>1.6</v>
      </c>
      <c r="H162" t="n">
        <v>65</v>
      </c>
      <c r="I162" t="n">
        <v>60</v>
      </c>
      <c r="J162" t="inlineStr">
        <is>
          <t>LOSS</t>
        </is>
      </c>
      <c r="K162" t="n">
        <v>31.73</v>
      </c>
      <c r="L162" t="n">
        <v>-0.63</v>
      </c>
      <c r="M162" t="n">
        <v>-0.01946847960444991</v>
      </c>
      <c r="N162" t="n">
        <v>1</v>
      </c>
    </row>
    <row r="163">
      <c r="A163" t="inlineStr">
        <is>
          <t>2026-04-20</t>
        </is>
      </c>
      <c r="B163" t="inlineStr">
        <is>
          <t>11:51</t>
        </is>
      </c>
      <c r="C163" t="inlineStr">
        <is>
          <t>ARM</t>
        </is>
      </c>
      <c r="D163" t="n">
        <v>171.65</v>
      </c>
      <c r="E163" t="n">
        <v>177.64</v>
      </c>
      <c r="F163" t="n">
        <v>169.24</v>
      </c>
      <c r="G163" t="n">
        <v>2</v>
      </c>
      <c r="H163" t="n">
        <v>70</v>
      </c>
      <c r="I163" t="n">
        <v>58</v>
      </c>
      <c r="J163" t="inlineStr">
        <is>
          <t>EOD</t>
        </is>
      </c>
      <c r="K163" t="n">
        <v>175.1</v>
      </c>
      <c r="L163" t="n">
        <v>3.45</v>
      </c>
      <c r="M163" t="n">
        <v>0.02009903874162533</v>
      </c>
      <c r="N163" t="n">
        <v>1</v>
      </c>
    </row>
    <row r="164">
      <c r="A164" t="inlineStr">
        <is>
          <t>2026-04-20</t>
        </is>
      </c>
      <c r="B164" t="inlineStr">
        <is>
          <t>11:51</t>
        </is>
      </c>
      <c r="C164" t="inlineStr">
        <is>
          <t>NBIS</t>
        </is>
      </c>
      <c r="D164" t="n">
        <v>159.66</v>
      </c>
      <c r="E164" t="n">
        <v>164.76</v>
      </c>
      <c r="F164" t="n">
        <v>157.62</v>
      </c>
      <c r="G164" t="n">
        <v>1.7</v>
      </c>
      <c r="H164" t="n">
        <v>64</v>
      </c>
      <c r="I164" t="n">
        <v>51</v>
      </c>
      <c r="J164" t="inlineStr">
        <is>
          <t>LOSS</t>
        </is>
      </c>
      <c r="K164" t="n">
        <v>157.62</v>
      </c>
      <c r="L164" t="n">
        <v>-2.04</v>
      </c>
      <c r="M164" t="n">
        <v>-0.01277715144682445</v>
      </c>
      <c r="N164" t="n">
        <v>1</v>
      </c>
    </row>
    <row r="165">
      <c r="A165" t="inlineStr">
        <is>
          <t>2026-04-20</t>
        </is>
      </c>
      <c r="B165" t="inlineStr">
        <is>
          <t>11:51</t>
        </is>
      </c>
      <c r="C165" t="inlineStr">
        <is>
          <t>CRML</t>
        </is>
      </c>
      <c r="D165" t="n">
        <v>12.01</v>
      </c>
      <c r="E165" t="n">
        <v>12.9</v>
      </c>
      <c r="F165" t="n">
        <v>11.64</v>
      </c>
      <c r="G165" t="n">
        <v>2.1</v>
      </c>
      <c r="H165" t="n">
        <v>48</v>
      </c>
      <c r="I165" t="n">
        <v>46</v>
      </c>
      <c r="J165" t="inlineStr">
        <is>
          <t>LOSS</t>
        </is>
      </c>
      <c r="K165" t="n">
        <v>11.64</v>
      </c>
      <c r="L165" t="n">
        <v>-0.37</v>
      </c>
      <c r="M165" t="n">
        <v>-0.03080766028309736</v>
      </c>
      <c r="N165" t="n">
        <v>1</v>
      </c>
    </row>
    <row r="166">
      <c r="A166" t="inlineStr">
        <is>
          <t>2026-04-20</t>
        </is>
      </c>
      <c r="B166" t="inlineStr">
        <is>
          <t>12:03</t>
        </is>
      </c>
      <c r="C166" t="inlineStr">
        <is>
          <t>HIMS</t>
        </is>
      </c>
      <c r="D166" t="n">
        <v>31.39</v>
      </c>
      <c r="E166" t="n">
        <v>33.22</v>
      </c>
      <c r="F166" t="n">
        <v>30.66</v>
      </c>
      <c r="G166" t="n">
        <v>2.2</v>
      </c>
      <c r="H166" t="n">
        <v>64</v>
      </c>
      <c r="I166" t="n">
        <v>76</v>
      </c>
      <c r="J166" t="inlineStr">
        <is>
          <t>LOSS</t>
        </is>
      </c>
      <c r="K166" t="n">
        <v>30.66</v>
      </c>
      <c r="L166" t="n">
        <v>-0.73</v>
      </c>
      <c r="M166" t="n">
        <v>-0.02325581395348839</v>
      </c>
      <c r="N166" t="n">
        <v>1</v>
      </c>
    </row>
    <row r="167">
      <c r="A167" t="inlineStr">
        <is>
          <t>2026-04-20</t>
        </is>
      </c>
      <c r="B167" t="inlineStr">
        <is>
          <t>12:03</t>
        </is>
      </c>
      <c r="C167" t="inlineStr">
        <is>
          <t>ABNB</t>
        </is>
      </c>
      <c r="D167" t="n">
        <v>142.68</v>
      </c>
      <c r="E167" t="n">
        <v>144.53</v>
      </c>
      <c r="F167" t="n">
        <v>141.94</v>
      </c>
      <c r="G167" t="n">
        <v>1.4</v>
      </c>
      <c r="H167" t="n">
        <v>60</v>
      </c>
      <c r="I167" t="n">
        <v>71</v>
      </c>
      <c r="J167" t="inlineStr">
        <is>
          <t>EOD</t>
        </is>
      </c>
      <c r="K167" t="n">
        <v>143.59</v>
      </c>
      <c r="L167" t="n">
        <v>0.91</v>
      </c>
      <c r="M167" t="n">
        <v>0.00637790860667225</v>
      </c>
      <c r="N167" t="n">
        <v>1</v>
      </c>
    </row>
    <row r="168">
      <c r="A168" t="inlineStr">
        <is>
          <t>2026-04-20</t>
        </is>
      </c>
      <c r="B168" t="inlineStr">
        <is>
          <t>12:03</t>
        </is>
      </c>
      <c r="C168" t="inlineStr">
        <is>
          <t>NOW</t>
        </is>
      </c>
      <c r="D168" t="n">
        <v>99.31</v>
      </c>
      <c r="E168" t="n">
        <v>101.2</v>
      </c>
      <c r="F168" t="n">
        <v>98.56999999999999</v>
      </c>
      <c r="G168" t="n">
        <v>1.4</v>
      </c>
      <c r="H168" t="n">
        <v>62</v>
      </c>
      <c r="I168" t="n">
        <v>70</v>
      </c>
      <c r="J168" t="inlineStr">
        <is>
          <t>EOD</t>
        </is>
      </c>
      <c r="K168" t="n">
        <v>99.72</v>
      </c>
      <c r="L168" t="n">
        <v>0.41</v>
      </c>
      <c r="M168" t="n">
        <v>0.004128486557244956</v>
      </c>
      <c r="N168" t="n">
        <v>1</v>
      </c>
    </row>
    <row r="169">
      <c r="A169" t="inlineStr">
        <is>
          <t>2026-04-20</t>
        </is>
      </c>
      <c r="B169" t="inlineStr">
        <is>
          <t>12:03</t>
        </is>
      </c>
      <c r="C169" t="inlineStr">
        <is>
          <t>NET</t>
        </is>
      </c>
      <c r="D169" t="n">
        <v>203.37</v>
      </c>
      <c r="E169" t="n">
        <v>207.52</v>
      </c>
      <c r="F169" t="n">
        <v>201.71</v>
      </c>
      <c r="G169" t="n">
        <v>1.6</v>
      </c>
      <c r="H169" t="n">
        <v>64</v>
      </c>
      <c r="I169" t="n">
        <v>69</v>
      </c>
      <c r="J169" t="inlineStr">
        <is>
          <t>EOD</t>
        </is>
      </c>
      <c r="K169" t="n">
        <v>204.81</v>
      </c>
      <c r="L169" t="n">
        <v>1.44</v>
      </c>
      <c r="M169" t="n">
        <v>0.007080690367310801</v>
      </c>
      <c r="N169" t="n">
        <v>1</v>
      </c>
    </row>
    <row r="170">
      <c r="A170" t="inlineStr">
        <is>
          <t>2026-04-20</t>
        </is>
      </c>
      <c r="B170" t="inlineStr">
        <is>
          <t>12:03</t>
        </is>
      </c>
      <c r="C170" t="inlineStr">
        <is>
          <t>UNP</t>
        </is>
      </c>
      <c r="D170" t="n">
        <v>253.39</v>
      </c>
      <c r="E170" t="n">
        <v>255.24</v>
      </c>
      <c r="F170" t="n">
        <v>252.65</v>
      </c>
      <c r="G170" t="n">
        <v>2.8</v>
      </c>
      <c r="H170" t="n">
        <v>62</v>
      </c>
      <c r="I170" t="n">
        <v>68</v>
      </c>
      <c r="J170" t="inlineStr">
        <is>
          <t>LOSS</t>
        </is>
      </c>
      <c r="K170" t="n">
        <v>252.65</v>
      </c>
      <c r="L170" t="n">
        <v>-0.74</v>
      </c>
      <c r="M170" t="n">
        <v>-0.002920399384348162</v>
      </c>
      <c r="N170" t="n">
        <v>1</v>
      </c>
    </row>
    <row r="171">
      <c r="A171" t="inlineStr">
        <is>
          <t>2026-04-20</t>
        </is>
      </c>
      <c r="B171" t="inlineStr">
        <is>
          <t>12:03</t>
        </is>
      </c>
      <c r="C171" t="inlineStr">
        <is>
          <t>ADI</t>
        </is>
      </c>
      <c r="D171" t="n">
        <v>384.6</v>
      </c>
      <c r="E171" t="n">
        <v>391.18</v>
      </c>
      <c r="F171" t="n">
        <v>381.97</v>
      </c>
      <c r="G171" t="n">
        <v>5.5</v>
      </c>
      <c r="H171" t="n">
        <v>74</v>
      </c>
      <c r="I171" t="n">
        <v>66</v>
      </c>
      <c r="J171" t="inlineStr">
        <is>
          <t>LOSS</t>
        </is>
      </c>
      <c r="K171" t="n">
        <v>381.97</v>
      </c>
      <c r="L171" t="n">
        <v>-2.63</v>
      </c>
      <c r="M171" t="n">
        <v>-0.006838273530941226</v>
      </c>
      <c r="N171" t="n">
        <v>1</v>
      </c>
    </row>
    <row r="172">
      <c r="A172" t="inlineStr">
        <is>
          <t>2026-04-20</t>
        </is>
      </c>
      <c r="B172" t="inlineStr">
        <is>
          <t>12:03</t>
        </is>
      </c>
      <c r="C172" t="inlineStr">
        <is>
          <t>MDB</t>
        </is>
      </c>
      <c r="D172" t="n">
        <v>263.05</v>
      </c>
      <c r="E172" t="n">
        <v>270.18</v>
      </c>
      <c r="F172" t="n">
        <v>260.2</v>
      </c>
      <c r="G172" t="n">
        <v>1.7</v>
      </c>
      <c r="H172" t="n">
        <v>55</v>
      </c>
      <c r="I172" t="n">
        <v>64</v>
      </c>
      <c r="J172" t="inlineStr">
        <is>
          <t>EOD</t>
        </is>
      </c>
      <c r="K172" t="n">
        <v>264.11</v>
      </c>
      <c r="L172" t="n">
        <v>1.06</v>
      </c>
      <c r="M172" t="n">
        <v>0.004029652157384536</v>
      </c>
      <c r="N172" t="n">
        <v>1</v>
      </c>
    </row>
    <row r="173">
      <c r="A173" t="inlineStr">
        <is>
          <t>2026-04-20</t>
        </is>
      </c>
      <c r="B173" t="inlineStr">
        <is>
          <t>12:03</t>
        </is>
      </c>
      <c r="C173" t="inlineStr">
        <is>
          <t>TXN</t>
        </is>
      </c>
      <c r="D173" t="n">
        <v>233.68</v>
      </c>
      <c r="E173" t="n">
        <v>236.46</v>
      </c>
      <c r="F173" t="n">
        <v>232.57</v>
      </c>
      <c r="G173" t="n">
        <v>2.2</v>
      </c>
      <c r="H173" t="n">
        <v>74</v>
      </c>
      <c r="I173" t="n">
        <v>64</v>
      </c>
      <c r="J173" t="inlineStr">
        <is>
          <t>LOSS</t>
        </is>
      </c>
      <c r="K173" t="n">
        <v>232.57</v>
      </c>
      <c r="L173" t="n">
        <v>-1.11</v>
      </c>
      <c r="M173" t="n">
        <v>-0.004750085587127755</v>
      </c>
      <c r="N173" t="n">
        <v>1</v>
      </c>
    </row>
    <row r="174">
      <c r="A174" t="inlineStr">
        <is>
          <t>2026-04-20</t>
        </is>
      </c>
      <c r="B174" t="inlineStr">
        <is>
          <t>12:03</t>
        </is>
      </c>
      <c r="C174" t="inlineStr">
        <is>
          <t>SNOW</t>
        </is>
      </c>
      <c r="D174" t="n">
        <v>149.24</v>
      </c>
      <c r="E174" t="n">
        <v>152.46</v>
      </c>
      <c r="F174" t="n">
        <v>147.95</v>
      </c>
      <c r="G174" t="n">
        <v>1.8</v>
      </c>
      <c r="H174" t="n">
        <v>64</v>
      </c>
      <c r="I174" t="n">
        <v>60</v>
      </c>
      <c r="J174" t="inlineStr">
        <is>
          <t>EOD</t>
        </is>
      </c>
      <c r="K174" t="n">
        <v>150.44</v>
      </c>
      <c r="L174" t="n">
        <v>1.2</v>
      </c>
      <c r="M174" t="n">
        <v>0.008040739748056745</v>
      </c>
      <c r="N174" t="n">
        <v>1</v>
      </c>
    </row>
    <row r="175">
      <c r="A175" t="inlineStr">
        <is>
          <t>2026-04-20</t>
        </is>
      </c>
      <c r="B175" t="inlineStr">
        <is>
          <t>12:03</t>
        </is>
      </c>
      <c r="C175" t="inlineStr">
        <is>
          <t>ZTS</t>
        </is>
      </c>
      <c r="D175" t="n">
        <v>123.27</v>
      </c>
      <c r="E175" t="n">
        <v>124.4</v>
      </c>
      <c r="F175" t="n">
        <v>122.82</v>
      </c>
      <c r="G175" t="n">
        <v>1.6</v>
      </c>
      <c r="H175" t="n">
        <v>72</v>
      </c>
      <c r="I175" t="n">
        <v>60</v>
      </c>
      <c r="J175" t="inlineStr">
        <is>
          <t>LOSS</t>
        </is>
      </c>
      <c r="K175" t="n">
        <v>122.82</v>
      </c>
      <c r="L175" t="n">
        <v>-0.45</v>
      </c>
      <c r="M175" t="n">
        <v>-0.003650523241664662</v>
      </c>
      <c r="N175" t="n">
        <v>1</v>
      </c>
    </row>
    <row r="176">
      <c r="A176" t="inlineStr">
        <is>
          <t>2026-04-20</t>
        </is>
      </c>
      <c r="B176" t="inlineStr">
        <is>
          <t>12:03</t>
        </is>
      </c>
      <c r="C176" t="inlineStr">
        <is>
          <t>UNH</t>
        </is>
      </c>
      <c r="D176" t="n">
        <v>323.84</v>
      </c>
      <c r="E176" t="n">
        <v>327.32</v>
      </c>
      <c r="F176" t="n">
        <v>322.45</v>
      </c>
      <c r="G176" t="n">
        <v>1.9</v>
      </c>
      <c r="H176" t="n">
        <v>66</v>
      </c>
      <c r="I176" t="n">
        <v>55</v>
      </c>
      <c r="J176" t="inlineStr">
        <is>
          <t>LOSS</t>
        </is>
      </c>
      <c r="K176" t="n">
        <v>322.45</v>
      </c>
      <c r="L176" t="n">
        <v>-1.39</v>
      </c>
      <c r="M176" t="n">
        <v>-0.00429224308300391</v>
      </c>
      <c r="N176" t="n">
        <v>1</v>
      </c>
    </row>
    <row r="177">
      <c r="A177" t="inlineStr">
        <is>
          <t>2026-04-20</t>
        </is>
      </c>
      <c r="B177" t="inlineStr">
        <is>
          <t>12:03</t>
        </is>
      </c>
      <c r="C177" t="inlineStr">
        <is>
          <t>PM</t>
        </is>
      </c>
      <c r="D177" t="n">
        <v>158.26</v>
      </c>
      <c r="E177" t="n">
        <v>160.01</v>
      </c>
      <c r="F177" t="n">
        <v>157.56</v>
      </c>
      <c r="G177" t="n">
        <v>1.9</v>
      </c>
      <c r="H177" t="n">
        <v>52</v>
      </c>
      <c r="I177" t="n">
        <v>54</v>
      </c>
      <c r="J177" t="inlineStr">
        <is>
          <t>LOSS</t>
        </is>
      </c>
      <c r="K177" t="n">
        <v>157.56</v>
      </c>
      <c r="L177" t="n">
        <v>-0.7</v>
      </c>
      <c r="M177" t="n">
        <v>-0.00442310122583084</v>
      </c>
      <c r="N177" t="n">
        <v>1</v>
      </c>
    </row>
    <row r="178">
      <c r="A178" t="inlineStr">
        <is>
          <t>2026-04-20</t>
        </is>
      </c>
      <c r="B178" t="inlineStr">
        <is>
          <t>12:03</t>
        </is>
      </c>
      <c r="C178" t="inlineStr">
        <is>
          <t>RIVN</t>
        </is>
      </c>
      <c r="D178" t="n">
        <v>16.91</v>
      </c>
      <c r="E178" t="n">
        <v>17.35</v>
      </c>
      <c r="F178" t="n">
        <v>16.75</v>
      </c>
      <c r="G178" t="n">
        <v>2.3</v>
      </c>
      <c r="H178" t="n">
        <v>45</v>
      </c>
      <c r="I178" t="n">
        <v>51</v>
      </c>
      <c r="J178" t="inlineStr">
        <is>
          <t>EOD</t>
        </is>
      </c>
      <c r="K178" t="n">
        <v>16.92</v>
      </c>
      <c r="L178" t="n">
        <v>0.01</v>
      </c>
      <c r="M178" t="n">
        <v>0.0005913660555885016</v>
      </c>
      <c r="N178" t="n">
        <v>1</v>
      </c>
    </row>
    <row r="179">
      <c r="A179" t="inlineStr">
        <is>
          <t>2026-04-20</t>
        </is>
      </c>
      <c r="B179" t="inlineStr">
        <is>
          <t>12:03</t>
        </is>
      </c>
      <c r="C179" t="inlineStr">
        <is>
          <t>REGN</t>
        </is>
      </c>
      <c r="D179" t="n">
        <v>751.7</v>
      </c>
      <c r="E179" t="n">
        <v>760</v>
      </c>
      <c r="F179" t="n">
        <v>748.38</v>
      </c>
      <c r="G179" t="n">
        <v>1.4</v>
      </c>
      <c r="H179" t="n">
        <v>52</v>
      </c>
      <c r="I179" t="n">
        <v>49</v>
      </c>
      <c r="J179" t="inlineStr">
        <is>
          <t>LOSS</t>
        </is>
      </c>
      <c r="K179" t="n">
        <v>748.38</v>
      </c>
      <c r="L179" t="n">
        <v>-3.32</v>
      </c>
      <c r="M179" t="n">
        <v>-0.004416655580683849</v>
      </c>
      <c r="N179" t="n">
        <v>1</v>
      </c>
    </row>
    <row r="180">
      <c r="A180" t="inlineStr">
        <is>
          <t>2026-04-20</t>
        </is>
      </c>
      <c r="B180" t="inlineStr">
        <is>
          <t>12:03</t>
        </is>
      </c>
      <c r="C180" t="inlineStr">
        <is>
          <t>DUK</t>
        </is>
      </c>
      <c r="D180" t="n">
        <v>128.79</v>
      </c>
      <c r="E180" t="n">
        <v>129.59</v>
      </c>
      <c r="F180" t="n">
        <v>128.47</v>
      </c>
      <c r="G180" t="n">
        <v>1.6</v>
      </c>
      <c r="H180" t="n">
        <v>54</v>
      </c>
      <c r="I180" t="n">
        <v>44</v>
      </c>
      <c r="J180" t="inlineStr">
        <is>
          <t>LOSS</t>
        </is>
      </c>
      <c r="K180" t="n">
        <v>128.47</v>
      </c>
      <c r="L180" t="n">
        <v>-0.32</v>
      </c>
      <c r="M180" t="n">
        <v>-0.002484664958459455</v>
      </c>
      <c r="N180" t="n">
        <v>1</v>
      </c>
    </row>
    <row r="181">
      <c r="A181" t="inlineStr">
        <is>
          <t>2026-04-20</t>
        </is>
      </c>
      <c r="B181" t="inlineStr">
        <is>
          <t>12:07</t>
        </is>
      </c>
      <c r="C181" t="inlineStr">
        <is>
          <t>DDOG</t>
        </is>
      </c>
      <c r="D181" t="n">
        <v>128.51</v>
      </c>
      <c r="E181" t="n">
        <v>131.61</v>
      </c>
      <c r="F181" t="n">
        <v>127.27</v>
      </c>
      <c r="G181" t="n">
        <v>2.3</v>
      </c>
      <c r="H181" t="n">
        <v>69</v>
      </c>
      <c r="I181" t="n">
        <v>77</v>
      </c>
      <c r="J181" t="inlineStr">
        <is>
          <t>LOSS</t>
        </is>
      </c>
      <c r="K181" t="n">
        <v>127.27</v>
      </c>
      <c r="L181" t="n">
        <v>-1.24</v>
      </c>
      <c r="M181" t="n">
        <v>-0.009649054548284141</v>
      </c>
      <c r="N181" t="n">
        <v>1</v>
      </c>
    </row>
    <row r="182">
      <c r="A182" t="inlineStr">
        <is>
          <t>2026-04-20</t>
        </is>
      </c>
      <c r="B182" t="inlineStr">
        <is>
          <t>12:07</t>
        </is>
      </c>
      <c r="C182" t="inlineStr">
        <is>
          <t>NEE</t>
        </is>
      </c>
      <c r="D182" t="n">
        <v>92.75</v>
      </c>
      <c r="E182" t="n">
        <v>93.42</v>
      </c>
      <c r="F182" t="n">
        <v>92.48</v>
      </c>
      <c r="G182" t="n">
        <v>1.6</v>
      </c>
      <c r="H182" t="n">
        <v>54</v>
      </c>
      <c r="I182" t="n">
        <v>56</v>
      </c>
      <c r="J182" t="inlineStr">
        <is>
          <t>LOSS</t>
        </is>
      </c>
      <c r="K182" t="n">
        <v>92.48</v>
      </c>
      <c r="L182" t="n">
        <v>-0.27</v>
      </c>
      <c r="M182" t="n">
        <v>-0.002911051212937962</v>
      </c>
      <c r="N182" t="n">
        <v>1</v>
      </c>
    </row>
    <row r="183">
      <c r="A183" t="inlineStr">
        <is>
          <t>2026-04-20</t>
        </is>
      </c>
      <c r="B183" t="inlineStr">
        <is>
          <t>12:07</t>
        </is>
      </c>
      <c r="C183" t="inlineStr">
        <is>
          <t>BDX</t>
        </is>
      </c>
      <c r="D183" t="n">
        <v>158.31</v>
      </c>
      <c r="E183" t="n">
        <v>159.42</v>
      </c>
      <c r="F183" t="n">
        <v>157.88</v>
      </c>
      <c r="G183" t="n">
        <v>2</v>
      </c>
      <c r="H183" t="n">
        <v>47</v>
      </c>
      <c r="I183" t="n">
        <v>49</v>
      </c>
      <c r="J183" t="inlineStr">
        <is>
          <t>LOSS</t>
        </is>
      </c>
      <c r="K183" t="n">
        <v>157.88</v>
      </c>
      <c r="L183" t="n">
        <v>-0.43</v>
      </c>
      <c r="M183" t="n">
        <v>-0.002716189754279621</v>
      </c>
      <c r="N183" t="n">
        <v>1</v>
      </c>
    </row>
    <row r="184">
      <c r="A184" t="inlineStr">
        <is>
          <t>2026-04-20</t>
        </is>
      </c>
      <c r="B184" t="inlineStr">
        <is>
          <t>12:07</t>
        </is>
      </c>
      <c r="C184" t="inlineStr">
        <is>
          <t>XOM</t>
        </is>
      </c>
      <c r="D184" t="n">
        <v>148.72</v>
      </c>
      <c r="E184" t="n">
        <v>150.32</v>
      </c>
      <c r="F184" t="n">
        <v>148.08</v>
      </c>
      <c r="G184" t="n">
        <v>1.4</v>
      </c>
      <c r="H184" t="n">
        <v>56</v>
      </c>
      <c r="I184" t="n">
        <v>48</v>
      </c>
      <c r="J184" t="inlineStr">
        <is>
          <t>LOSS</t>
        </is>
      </c>
      <c r="K184" t="n">
        <v>148.08</v>
      </c>
      <c r="L184" t="n">
        <v>-0.64</v>
      </c>
      <c r="M184" t="n">
        <v>-0.004303388918773443</v>
      </c>
      <c r="N184" t="n">
        <v>1</v>
      </c>
    </row>
    <row r="185">
      <c r="A185" t="inlineStr">
        <is>
          <t>2026-04-20</t>
        </is>
      </c>
      <c r="B185" t="inlineStr">
        <is>
          <t>12:07</t>
        </is>
      </c>
      <c r="C185" t="inlineStr">
        <is>
          <t>MOD</t>
        </is>
      </c>
      <c r="D185" t="n">
        <v>245.93</v>
      </c>
      <c r="E185" t="n">
        <v>251.73</v>
      </c>
      <c r="F185" t="n">
        <v>243.61</v>
      </c>
      <c r="G185" t="n">
        <v>2.4</v>
      </c>
      <c r="H185" t="n">
        <v>53</v>
      </c>
      <c r="I185" t="n">
        <v>46</v>
      </c>
      <c r="J185" t="inlineStr">
        <is>
          <t>WIN</t>
        </is>
      </c>
      <c r="K185" t="n">
        <v>251.73</v>
      </c>
      <c r="L185" t="n">
        <v>5.8</v>
      </c>
      <c r="M185" t="n">
        <v>0.02358394665148613</v>
      </c>
      <c r="N185" t="n">
        <v>1</v>
      </c>
    </row>
    <row r="186">
      <c r="A186" t="inlineStr">
        <is>
          <t>2026-04-20</t>
        </is>
      </c>
      <c r="B186" t="inlineStr">
        <is>
          <t>12:13</t>
        </is>
      </c>
      <c r="C186" t="inlineStr">
        <is>
          <t>CSCO</t>
        </is>
      </c>
      <c r="D186" t="n">
        <v>88.03</v>
      </c>
      <c r="E186" t="n">
        <v>88.98</v>
      </c>
      <c r="F186" t="n">
        <v>87.65000000000001</v>
      </c>
      <c r="G186" t="n">
        <v>2.2</v>
      </c>
      <c r="H186" t="n">
        <v>75</v>
      </c>
      <c r="I186" t="n">
        <v>65</v>
      </c>
      <c r="J186" t="inlineStr">
        <is>
          <t>LOSS</t>
        </is>
      </c>
      <c r="K186" t="n">
        <v>87.65000000000001</v>
      </c>
      <c r="L186" t="n">
        <v>-0.38</v>
      </c>
      <c r="M186" t="n">
        <v>-0.00431671021242753</v>
      </c>
      <c r="N186" t="n">
        <v>1</v>
      </c>
    </row>
    <row r="187">
      <c r="A187" t="inlineStr">
        <is>
          <t>2026-04-20</t>
        </is>
      </c>
      <c r="B187" t="inlineStr">
        <is>
          <t>12:13</t>
        </is>
      </c>
      <c r="C187" t="inlineStr">
        <is>
          <t>MRVL</t>
        </is>
      </c>
      <c r="D187" t="n">
        <v>145.74</v>
      </c>
      <c r="E187" t="n">
        <v>149.04</v>
      </c>
      <c r="F187" t="n">
        <v>144.42</v>
      </c>
      <c r="G187" t="n">
        <v>1.4</v>
      </c>
      <c r="H187" t="n">
        <v>59</v>
      </c>
      <c r="I187" t="n">
        <v>60</v>
      </c>
      <c r="J187" t="inlineStr">
        <is>
          <t>WIN</t>
        </is>
      </c>
      <c r="K187" t="n">
        <v>149.04</v>
      </c>
      <c r="L187" t="n">
        <v>3.3</v>
      </c>
      <c r="M187" t="n">
        <v>0.0226430629888842</v>
      </c>
      <c r="N187" t="n">
        <v>1</v>
      </c>
    </row>
    <row r="188">
      <c r="A188" t="inlineStr">
        <is>
          <t>2026-04-20</t>
        </is>
      </c>
      <c r="B188" t="inlineStr">
        <is>
          <t>12:13</t>
        </is>
      </c>
      <c r="C188" t="inlineStr">
        <is>
          <t>ISRG</t>
        </is>
      </c>
      <c r="D188" t="n">
        <v>468.59</v>
      </c>
      <c r="E188" t="n">
        <v>472.94</v>
      </c>
      <c r="F188" t="n">
        <v>466.85</v>
      </c>
      <c r="G188" t="n">
        <v>3.4</v>
      </c>
      <c r="H188" t="n">
        <v>48</v>
      </c>
      <c r="I188" t="n">
        <v>52</v>
      </c>
      <c r="J188" t="inlineStr">
        <is>
          <t>LOSS</t>
        </is>
      </c>
      <c r="K188" t="n">
        <v>466.85</v>
      </c>
      <c r="L188" t="n">
        <v>-1.74</v>
      </c>
      <c r="M188" t="n">
        <v>-0.003713267461960248</v>
      </c>
      <c r="N188" t="n">
        <v>1</v>
      </c>
    </row>
    <row r="189">
      <c r="A189" t="inlineStr">
        <is>
          <t>2026-04-20</t>
        </is>
      </c>
      <c r="B189" t="inlineStr">
        <is>
          <t>12:13</t>
        </is>
      </c>
      <c r="C189" t="inlineStr">
        <is>
          <t>IREN</t>
        </is>
      </c>
      <c r="D189" t="n">
        <v>48.83</v>
      </c>
      <c r="E189" t="n">
        <v>50.53</v>
      </c>
      <c r="F189" t="n">
        <v>48.15</v>
      </c>
      <c r="G189" t="n">
        <v>1.4</v>
      </c>
      <c r="H189" t="n">
        <v>54</v>
      </c>
      <c r="I189" t="n">
        <v>49</v>
      </c>
      <c r="J189" t="inlineStr">
        <is>
          <t>LOSS</t>
        </is>
      </c>
      <c r="K189" t="n">
        <v>48.15</v>
      </c>
      <c r="L189" t="n">
        <v>-0.68</v>
      </c>
      <c r="M189" t="n">
        <v>-0.01392586524677452</v>
      </c>
      <c r="N189" t="n">
        <v>1</v>
      </c>
    </row>
    <row r="190">
      <c r="A190" t="inlineStr">
        <is>
          <t>2026-04-20</t>
        </is>
      </c>
      <c r="B190" t="inlineStr">
        <is>
          <t>12:31</t>
        </is>
      </c>
      <c r="C190" t="inlineStr">
        <is>
          <t>LOW</t>
        </is>
      </c>
      <c r="D190" t="n">
        <v>251.42</v>
      </c>
      <c r="E190" t="n">
        <v>253.34</v>
      </c>
      <c r="F190" t="n">
        <v>250.65</v>
      </c>
      <c r="G190" t="n">
        <v>6.7</v>
      </c>
      <c r="H190" t="n">
        <v>55</v>
      </c>
      <c r="I190" t="n">
        <v>62</v>
      </c>
      <c r="J190" t="inlineStr">
        <is>
          <t>WIN</t>
        </is>
      </c>
      <c r="K190" t="n">
        <v>253.34</v>
      </c>
      <c r="L190" t="n">
        <v>1.92</v>
      </c>
      <c r="M190" t="n">
        <v>0.007636623975817421</v>
      </c>
      <c r="N190" t="n">
        <v>1</v>
      </c>
    </row>
    <row r="191">
      <c r="A191" t="inlineStr">
        <is>
          <t>2026-04-20</t>
        </is>
      </c>
      <c r="B191" t="inlineStr">
        <is>
          <t>12:31</t>
        </is>
      </c>
      <c r="C191" t="inlineStr">
        <is>
          <t>TGT</t>
        </is>
      </c>
      <c r="D191" t="n">
        <v>129.24</v>
      </c>
      <c r="E191" t="n">
        <v>130.44</v>
      </c>
      <c r="F191" t="n">
        <v>128.76</v>
      </c>
      <c r="G191" t="n">
        <v>1.7</v>
      </c>
      <c r="H191" t="n">
        <v>54</v>
      </c>
      <c r="I191" t="n">
        <v>57</v>
      </c>
      <c r="J191" t="inlineStr">
        <is>
          <t>EOD</t>
        </is>
      </c>
      <c r="K191" t="n">
        <v>130.18</v>
      </c>
      <c r="L191" t="n">
        <v>0.9399999999999999</v>
      </c>
      <c r="M191" t="n">
        <v>0.007273290003094999</v>
      </c>
      <c r="N191" t="n">
        <v>1</v>
      </c>
    </row>
    <row r="192">
      <c r="A192" t="inlineStr">
        <is>
          <t>2026-04-20</t>
        </is>
      </c>
      <c r="B192" t="inlineStr">
        <is>
          <t>13:00</t>
        </is>
      </c>
      <c r="C192" t="inlineStr">
        <is>
          <t>JPM</t>
        </is>
      </c>
      <c r="D192" t="n">
        <v>315.32</v>
      </c>
      <c r="E192" t="n">
        <v>317.12</v>
      </c>
      <c r="F192" t="n">
        <v>314.6</v>
      </c>
      <c r="G192" t="n">
        <v>3.2</v>
      </c>
      <c r="H192" t="n">
        <v>63</v>
      </c>
      <c r="I192" t="n">
        <v>67</v>
      </c>
      <c r="J192" t="inlineStr">
        <is>
          <t>WIN</t>
        </is>
      </c>
      <c r="K192" t="n">
        <v>317.12</v>
      </c>
      <c r="L192" t="n">
        <v>1.8</v>
      </c>
      <c r="M192" t="n">
        <v>0.005708486616770301</v>
      </c>
      <c r="N192" t="n">
        <v>1</v>
      </c>
    </row>
    <row r="193">
      <c r="A193" t="inlineStr">
        <is>
          <t>2026-04-20</t>
        </is>
      </c>
      <c r="B193" t="inlineStr">
        <is>
          <t>13:01</t>
        </is>
      </c>
      <c r="C193" t="inlineStr">
        <is>
          <t>GS</t>
        </is>
      </c>
      <c r="D193" t="n">
        <v>936.03</v>
      </c>
      <c r="E193" t="n">
        <v>942.96</v>
      </c>
      <c r="F193" t="n">
        <v>933.26</v>
      </c>
      <c r="G193" t="n">
        <v>1.5</v>
      </c>
      <c r="H193" t="n">
        <v>69</v>
      </c>
      <c r="I193" t="n">
        <v>64</v>
      </c>
      <c r="J193" t="inlineStr">
        <is>
          <t>LOSS</t>
        </is>
      </c>
      <c r="K193" t="n">
        <v>933.26</v>
      </c>
      <c r="L193" t="n">
        <v>-2.77</v>
      </c>
      <c r="M193" t="n">
        <v>-0.00295930685982285</v>
      </c>
      <c r="N193" t="n">
        <v>1</v>
      </c>
    </row>
    <row r="194">
      <c r="A194" t="inlineStr">
        <is>
          <t>2026-04-20</t>
        </is>
      </c>
      <c r="B194" t="inlineStr">
        <is>
          <t>13:01</t>
        </is>
      </c>
      <c r="C194" t="inlineStr">
        <is>
          <t>NOC</t>
        </is>
      </c>
      <c r="D194" t="n">
        <v>660.9</v>
      </c>
      <c r="E194" t="n">
        <v>667.05</v>
      </c>
      <c r="F194" t="n">
        <v>658.4400000000001</v>
      </c>
      <c r="G194" t="n">
        <v>1.9</v>
      </c>
      <c r="H194" t="n">
        <v>48</v>
      </c>
      <c r="I194" t="n">
        <v>42</v>
      </c>
      <c r="J194" t="inlineStr">
        <is>
          <t>LOSS</t>
        </is>
      </c>
      <c r="K194" t="n">
        <v>658.4400000000001</v>
      </c>
      <c r="L194" t="n">
        <v>-2.46</v>
      </c>
      <c r="M194" t="n">
        <v>-0.003722197004085221</v>
      </c>
      <c r="N194" t="n">
        <v>1</v>
      </c>
    </row>
    <row r="195">
      <c r="A195" t="inlineStr">
        <is>
          <t>2026-04-20</t>
        </is>
      </c>
      <c r="B195" t="inlineStr">
        <is>
          <t>13:31</t>
        </is>
      </c>
      <c r="C195" t="inlineStr">
        <is>
          <t>CRM</t>
        </is>
      </c>
      <c r="D195" t="n">
        <v>187.4</v>
      </c>
      <c r="E195" t="n">
        <v>189.48</v>
      </c>
      <c r="F195" t="n">
        <v>186.57</v>
      </c>
      <c r="G195" t="n">
        <v>1.5</v>
      </c>
      <c r="H195" t="n">
        <v>74</v>
      </c>
      <c r="I195" t="n">
        <v>71</v>
      </c>
      <c r="J195" t="inlineStr">
        <is>
          <t>LOSS</t>
        </is>
      </c>
      <c r="K195" t="n">
        <v>186.57</v>
      </c>
      <c r="L195" t="n">
        <v>-0.83</v>
      </c>
      <c r="M195" t="n">
        <v>-0.004429028815368263</v>
      </c>
      <c r="N195" t="n">
        <v>1</v>
      </c>
    </row>
    <row r="196">
      <c r="A196" t="inlineStr">
        <is>
          <t>2026-04-20</t>
        </is>
      </c>
      <c r="B196" t="inlineStr">
        <is>
          <t>13:31</t>
        </is>
      </c>
      <c r="C196" t="inlineStr">
        <is>
          <t>PNC</t>
        </is>
      </c>
      <c r="D196" t="n">
        <v>226.74</v>
      </c>
      <c r="E196" t="n">
        <v>228.06</v>
      </c>
      <c r="F196" t="n">
        <v>226.21</v>
      </c>
      <c r="G196" t="n">
        <v>2.2</v>
      </c>
      <c r="H196" t="n">
        <v>52</v>
      </c>
      <c r="I196" t="n">
        <v>67</v>
      </c>
      <c r="J196" t="inlineStr">
        <is>
          <t>EOD</t>
        </is>
      </c>
      <c r="K196" t="n">
        <v>227.03</v>
      </c>
      <c r="L196" t="n">
        <v>0.29</v>
      </c>
      <c r="M196" t="n">
        <v>0.001278997971244562</v>
      </c>
      <c r="N196" t="n">
        <v>1</v>
      </c>
    </row>
    <row r="197">
      <c r="A197" t="inlineStr">
        <is>
          <t>2026-04-20</t>
        </is>
      </c>
      <c r="B197" t="inlineStr">
        <is>
          <t>13:31</t>
        </is>
      </c>
      <c r="C197" t="inlineStr">
        <is>
          <t>CI</t>
        </is>
      </c>
      <c r="D197" t="n">
        <v>279.8</v>
      </c>
      <c r="E197" t="n">
        <v>281.82</v>
      </c>
      <c r="F197" t="n">
        <v>278.99</v>
      </c>
      <c r="G197" t="n">
        <v>6.6</v>
      </c>
      <c r="H197" t="n">
        <v>54</v>
      </c>
      <c r="I197" t="n">
        <v>60</v>
      </c>
      <c r="J197" t="inlineStr">
        <is>
          <t>LOSS</t>
        </is>
      </c>
      <c r="K197" t="n">
        <v>278.99</v>
      </c>
      <c r="L197" t="n">
        <v>-0.8100000000000001</v>
      </c>
      <c r="M197" t="n">
        <v>-0.002894924946390287</v>
      </c>
      <c r="N197" t="n">
        <v>1</v>
      </c>
    </row>
    <row r="198">
      <c r="A198" t="inlineStr">
        <is>
          <t>2026-04-20</t>
        </is>
      </c>
      <c r="B198" t="inlineStr">
        <is>
          <t>13:31</t>
        </is>
      </c>
      <c r="C198" t="inlineStr">
        <is>
          <t>DHR</t>
        </is>
      </c>
      <c r="D198" t="n">
        <v>194.74</v>
      </c>
      <c r="E198" t="n">
        <v>196.17</v>
      </c>
      <c r="F198" t="n">
        <v>194.17</v>
      </c>
      <c r="G198" t="n">
        <v>3.8</v>
      </c>
      <c r="H198" t="n">
        <v>62</v>
      </c>
      <c r="I198" t="n">
        <v>45</v>
      </c>
      <c r="J198" t="inlineStr">
        <is>
          <t>EOD</t>
        </is>
      </c>
      <c r="K198" t="n">
        <v>195.5</v>
      </c>
      <c r="L198" t="n">
        <v>0.76</v>
      </c>
      <c r="M198" t="n">
        <v>0.003902639416658061</v>
      </c>
      <c r="N198" t="n">
        <v>1</v>
      </c>
    </row>
    <row r="199">
      <c r="A199" t="inlineStr">
        <is>
          <t>2026-04-20</t>
        </is>
      </c>
      <c r="B199" t="inlineStr">
        <is>
          <t>13:31</t>
        </is>
      </c>
      <c r="C199" t="inlineStr">
        <is>
          <t>ICE</t>
        </is>
      </c>
      <c r="D199" t="n">
        <v>161.23</v>
      </c>
      <c r="E199" t="n">
        <v>162.23</v>
      </c>
      <c r="F199" t="n">
        <v>160.83</v>
      </c>
      <c r="G199" t="n">
        <v>1.6</v>
      </c>
      <c r="H199" t="n">
        <v>56</v>
      </c>
      <c r="I199" t="n">
        <v>44</v>
      </c>
      <c r="J199" t="inlineStr">
        <is>
          <t>LOSS</t>
        </is>
      </c>
      <c r="K199" t="n">
        <v>160.83</v>
      </c>
      <c r="L199" t="n">
        <v>-0.4</v>
      </c>
      <c r="M199" t="n">
        <v>-0.002480927867022125</v>
      </c>
      <c r="N199" t="n">
        <v>1</v>
      </c>
    </row>
    <row r="200">
      <c r="A200" t="inlineStr">
        <is>
          <t>2026-04-20</t>
        </is>
      </c>
      <c r="B200" t="inlineStr">
        <is>
          <t>13:57</t>
        </is>
      </c>
      <c r="C200" t="inlineStr">
        <is>
          <t>TMO</t>
        </is>
      </c>
      <c r="D200" t="n">
        <v>527.64</v>
      </c>
      <c r="E200" t="n">
        <v>531.04</v>
      </c>
      <c r="F200" t="n">
        <v>526.28</v>
      </c>
      <c r="G200" t="n">
        <v>1.5</v>
      </c>
      <c r="H200" t="n">
        <v>54</v>
      </c>
      <c r="I200" t="n">
        <v>60</v>
      </c>
      <c r="J200" t="inlineStr">
        <is>
          <t>LOSS</t>
        </is>
      </c>
      <c r="K200" t="n">
        <v>526.28</v>
      </c>
      <c r="L200" t="n">
        <v>-1.36</v>
      </c>
      <c r="M200" t="n">
        <v>-0.002577514972329645</v>
      </c>
      <c r="N200" t="n">
        <v>1</v>
      </c>
    </row>
    <row r="201">
      <c r="A201" t="inlineStr">
        <is>
          <t>2026-04-20</t>
        </is>
      </c>
      <c r="B201" t="inlineStr">
        <is>
          <t>14:01</t>
        </is>
      </c>
      <c r="C201" t="inlineStr">
        <is>
          <t>CRWD</t>
        </is>
      </c>
      <c r="D201" t="n">
        <v>430.4</v>
      </c>
      <c r="E201" t="n">
        <v>435.58</v>
      </c>
      <c r="F201" t="n">
        <v>428.33</v>
      </c>
      <c r="G201" t="n">
        <v>1.5</v>
      </c>
      <c r="H201" t="n">
        <v>64</v>
      </c>
      <c r="I201" t="n">
        <v>88</v>
      </c>
      <c r="J201" t="inlineStr">
        <is>
          <t>EOD</t>
        </is>
      </c>
      <c r="K201" t="n">
        <v>433.15</v>
      </c>
      <c r="L201" t="n">
        <v>2.75</v>
      </c>
      <c r="M201" t="n">
        <v>0.006389405204460967</v>
      </c>
      <c r="N201" t="n">
        <v>1</v>
      </c>
    </row>
    <row r="202">
      <c r="A202" t="inlineStr">
        <is>
          <t>2026-04-20</t>
        </is>
      </c>
      <c r="B202" t="inlineStr">
        <is>
          <t>14:01</t>
        </is>
      </c>
      <c r="C202" t="inlineStr">
        <is>
          <t>WM</t>
        </is>
      </c>
      <c r="D202" t="n">
        <v>225.25</v>
      </c>
      <c r="E202" t="n">
        <v>226.22</v>
      </c>
      <c r="F202" t="n">
        <v>224.86</v>
      </c>
      <c r="G202" t="n">
        <v>1.6</v>
      </c>
      <c r="H202" t="n">
        <v>57</v>
      </c>
      <c r="I202" t="n">
        <v>60</v>
      </c>
      <c r="J202" t="inlineStr">
        <is>
          <t>LOSS</t>
        </is>
      </c>
      <c r="K202" t="n">
        <v>224.86</v>
      </c>
      <c r="L202" t="n">
        <v>-0.39</v>
      </c>
      <c r="M202" t="n">
        <v>-0.001731409544949995</v>
      </c>
      <c r="N202" t="n">
        <v>1</v>
      </c>
    </row>
    <row r="203">
      <c r="A203" t="inlineStr">
        <is>
          <t>2026-04-20</t>
        </is>
      </c>
      <c r="B203" t="inlineStr">
        <is>
          <t>14:28</t>
        </is>
      </c>
      <c r="C203" t="inlineStr">
        <is>
          <t>AAOI</t>
        </is>
      </c>
      <c r="D203" t="n">
        <v>160.52</v>
      </c>
      <c r="E203" t="n">
        <v>164.92</v>
      </c>
      <c r="F203" t="n">
        <v>158.76</v>
      </c>
      <c r="G203" t="n">
        <v>1.6</v>
      </c>
      <c r="H203" t="n">
        <v>69</v>
      </c>
      <c r="I203" t="n">
        <v>80</v>
      </c>
      <c r="J203" t="inlineStr">
        <is>
          <t>EOD</t>
        </is>
      </c>
      <c r="K203" t="n">
        <v>163.47</v>
      </c>
      <c r="L203" t="n">
        <v>2.95</v>
      </c>
      <c r="M203" t="n">
        <v>0.01837777224021922</v>
      </c>
      <c r="N203" t="n">
        <v>1</v>
      </c>
    </row>
    <row r="204">
      <c r="A204" t="inlineStr">
        <is>
          <t>2026-04-20</t>
        </is>
      </c>
      <c r="B204" t="inlineStr">
        <is>
          <t>14:28</t>
        </is>
      </c>
      <c r="C204" t="inlineStr">
        <is>
          <t>PLD</t>
        </is>
      </c>
      <c r="D204" t="n">
        <v>144.29</v>
      </c>
      <c r="E204" t="n">
        <v>145.01</v>
      </c>
      <c r="F204" t="n">
        <v>144</v>
      </c>
      <c r="G204" t="n">
        <v>3.6</v>
      </c>
      <c r="H204" t="n">
        <v>59</v>
      </c>
      <c r="I204" t="n">
        <v>68</v>
      </c>
      <c r="J204" t="inlineStr">
        <is>
          <t>WIN</t>
        </is>
      </c>
      <c r="K204" t="n">
        <v>145.01</v>
      </c>
      <c r="L204" t="n">
        <v>0.72</v>
      </c>
      <c r="M204" t="n">
        <v>0.004989950793540778</v>
      </c>
      <c r="N204" t="n">
        <v>1</v>
      </c>
    </row>
    <row r="205">
      <c r="A205" t="inlineStr">
        <is>
          <t>2026-04-20</t>
        </is>
      </c>
      <c r="B205" t="inlineStr">
        <is>
          <t>14:28</t>
        </is>
      </c>
      <c r="C205" t="inlineStr">
        <is>
          <t>HD</t>
        </is>
      </c>
      <c r="D205" t="n">
        <v>348.65</v>
      </c>
      <c r="E205" t="n">
        <v>350.5</v>
      </c>
      <c r="F205" t="n">
        <v>347.91</v>
      </c>
      <c r="G205" t="n">
        <v>1.6</v>
      </c>
      <c r="H205" t="n">
        <v>64</v>
      </c>
      <c r="I205" t="n">
        <v>68</v>
      </c>
      <c r="J205" t="inlineStr">
        <is>
          <t>WIN</t>
        </is>
      </c>
      <c r="K205" t="n">
        <v>350.5</v>
      </c>
      <c r="L205" t="n">
        <v>1.85</v>
      </c>
      <c r="M205" t="n">
        <v>0.005306180983794702</v>
      </c>
      <c r="N205" t="n">
        <v>1</v>
      </c>
    </row>
    <row r="206">
      <c r="A206" t="inlineStr">
        <is>
          <t>2026-04-20</t>
        </is>
      </c>
      <c r="B206" t="inlineStr">
        <is>
          <t>14:28</t>
        </is>
      </c>
      <c r="C206" t="inlineStr">
        <is>
          <t>COIN</t>
        </is>
      </c>
      <c r="D206" t="n">
        <v>209.72</v>
      </c>
      <c r="E206" t="n">
        <v>213.44</v>
      </c>
      <c r="F206" t="n">
        <v>208.23</v>
      </c>
      <c r="G206" t="n">
        <v>1.7</v>
      </c>
      <c r="H206" t="n">
        <v>74</v>
      </c>
      <c r="I206" t="n">
        <v>64</v>
      </c>
      <c r="J206" t="inlineStr">
        <is>
          <t>EOD</t>
        </is>
      </c>
      <c r="K206" t="n">
        <v>211.63</v>
      </c>
      <c r="L206" t="n">
        <v>1.91</v>
      </c>
      <c r="M206" t="n">
        <v>0.0091073812702651</v>
      </c>
      <c r="N206" t="n">
        <v>1</v>
      </c>
    </row>
    <row r="207">
      <c r="A207" t="inlineStr">
        <is>
          <t>2026-04-20</t>
        </is>
      </c>
      <c r="B207" t="inlineStr">
        <is>
          <t>14:28</t>
        </is>
      </c>
      <c r="C207" t="inlineStr">
        <is>
          <t>CRDO</t>
        </is>
      </c>
      <c r="D207" t="n">
        <v>169.7</v>
      </c>
      <c r="E207" t="n">
        <v>173.88</v>
      </c>
      <c r="F207" t="n">
        <v>168.03</v>
      </c>
      <c r="G207" t="n">
        <v>3.7</v>
      </c>
      <c r="H207" t="n">
        <v>78</v>
      </c>
      <c r="I207" t="n">
        <v>59</v>
      </c>
      <c r="J207" t="inlineStr">
        <is>
          <t>WIN</t>
        </is>
      </c>
      <c r="K207" t="n">
        <v>173.88</v>
      </c>
      <c r="L207" t="n">
        <v>4.18</v>
      </c>
      <c r="M207" t="n">
        <v>0.02463170300530352</v>
      </c>
      <c r="N207" t="n">
        <v>1</v>
      </c>
    </row>
    <row r="208">
      <c r="A208" t="inlineStr">
        <is>
          <t>2026-04-20</t>
        </is>
      </c>
      <c r="B208" t="inlineStr">
        <is>
          <t>14:28</t>
        </is>
      </c>
      <c r="C208" t="inlineStr">
        <is>
          <t>MSTR</t>
        </is>
      </c>
      <c r="D208" t="n">
        <v>169.72</v>
      </c>
      <c r="E208" t="n">
        <v>173.02</v>
      </c>
      <c r="F208" t="n">
        <v>168.4</v>
      </c>
      <c r="G208" t="n">
        <v>2.8</v>
      </c>
      <c r="H208" t="n">
        <v>80</v>
      </c>
      <c r="I208" t="n">
        <v>53</v>
      </c>
      <c r="J208" t="inlineStr">
        <is>
          <t>EOD</t>
        </is>
      </c>
      <c r="K208" t="n">
        <v>170.81</v>
      </c>
      <c r="L208" t="n">
        <v>1.09</v>
      </c>
      <c r="M208" t="n">
        <v>0.006422342682064597</v>
      </c>
      <c r="N208" t="n">
        <v>1</v>
      </c>
    </row>
    <row r="209">
      <c r="A209" t="inlineStr">
        <is>
          <t>2026-04-20</t>
        </is>
      </c>
      <c r="B209" t="inlineStr">
        <is>
          <t>14:28</t>
        </is>
      </c>
      <c r="C209" t="inlineStr">
        <is>
          <t>MMM</t>
        </is>
      </c>
      <c r="D209" t="n">
        <v>151.96</v>
      </c>
      <c r="E209" t="n">
        <v>153.49</v>
      </c>
      <c r="F209" t="n">
        <v>151.35</v>
      </c>
      <c r="G209" t="n">
        <v>1.8</v>
      </c>
      <c r="H209" t="n">
        <v>50</v>
      </c>
      <c r="I209" t="n">
        <v>43</v>
      </c>
      <c r="J209" t="inlineStr">
        <is>
          <t>LOSS</t>
        </is>
      </c>
      <c r="K209" t="n">
        <v>151.35</v>
      </c>
      <c r="L209" t="n">
        <v>-0.61</v>
      </c>
      <c r="M209" t="n">
        <v>-0.004014214266912435</v>
      </c>
      <c r="N209" t="n">
        <v>1</v>
      </c>
    </row>
    <row r="210">
      <c r="A210" t="inlineStr">
        <is>
          <t>2026-04-20</t>
        </is>
      </c>
      <c r="B210" t="inlineStr">
        <is>
          <t>14:31</t>
        </is>
      </c>
      <c r="C210" t="inlineStr">
        <is>
          <t>PANW</t>
        </is>
      </c>
      <c r="D210" t="n">
        <v>170.31</v>
      </c>
      <c r="E210" t="n">
        <v>172</v>
      </c>
      <c r="F210" t="n">
        <v>169.65</v>
      </c>
      <c r="G210" t="n">
        <v>1.5</v>
      </c>
      <c r="H210" t="n">
        <v>72</v>
      </c>
      <c r="I210" t="n">
        <v>76</v>
      </c>
      <c r="J210" t="inlineStr">
        <is>
          <t>LOSS</t>
        </is>
      </c>
      <c r="K210" t="n">
        <v>169.65</v>
      </c>
      <c r="L210" t="n">
        <v>-0.66</v>
      </c>
      <c r="M210" t="n">
        <v>-0.003875286242733818</v>
      </c>
      <c r="N210" t="n">
        <v>1</v>
      </c>
    </row>
    <row r="211">
      <c r="A211" t="inlineStr">
        <is>
          <t>2026-04-20</t>
        </is>
      </c>
      <c r="B211" t="inlineStr">
        <is>
          <t>14:31</t>
        </is>
      </c>
      <c r="C211" t="inlineStr">
        <is>
          <t>SMCI</t>
        </is>
      </c>
      <c r="D211" t="n">
        <v>28.68</v>
      </c>
      <c r="E211" t="n">
        <v>29.08</v>
      </c>
      <c r="F211" t="n">
        <v>28.52</v>
      </c>
      <c r="G211" t="n">
        <v>1.3</v>
      </c>
      <c r="H211" t="n">
        <v>64</v>
      </c>
      <c r="I211" t="n">
        <v>74</v>
      </c>
      <c r="J211" t="inlineStr">
        <is>
          <t>EOD</t>
        </is>
      </c>
      <c r="K211" t="n">
        <v>28.81</v>
      </c>
      <c r="L211" t="n">
        <v>0.13</v>
      </c>
      <c r="M211" t="n">
        <v>0.00453277545327751</v>
      </c>
      <c r="N211" t="n">
        <v>1</v>
      </c>
    </row>
    <row r="212">
      <c r="A212" t="inlineStr">
        <is>
          <t>2026-04-20</t>
        </is>
      </c>
      <c r="B212" t="inlineStr">
        <is>
          <t>14:31</t>
        </is>
      </c>
      <c r="C212" t="inlineStr">
        <is>
          <t>QCOM</t>
        </is>
      </c>
      <c r="D212" t="n">
        <v>137.71</v>
      </c>
      <c r="E212" t="n">
        <v>138.74</v>
      </c>
      <c r="F212" t="n">
        <v>137.3</v>
      </c>
      <c r="G212" t="n">
        <v>2.3</v>
      </c>
      <c r="H212" t="n">
        <v>57</v>
      </c>
      <c r="I212" t="n">
        <v>67</v>
      </c>
      <c r="J212" t="inlineStr">
        <is>
          <t>EOD</t>
        </is>
      </c>
      <c r="K212" t="n">
        <v>137.52</v>
      </c>
      <c r="L212" t="n">
        <v>-0.19</v>
      </c>
      <c r="M212" t="n">
        <v>-0.001379710986856421</v>
      </c>
      <c r="N212" t="n">
        <v>1</v>
      </c>
    </row>
    <row r="213">
      <c r="A213" t="inlineStr">
        <is>
          <t>2026-04-20</t>
        </is>
      </c>
      <c r="B213" t="inlineStr">
        <is>
          <t>14:31</t>
        </is>
      </c>
      <c r="C213" t="inlineStr">
        <is>
          <t>MARA</t>
        </is>
      </c>
      <c r="D213" t="n">
        <v>11.65</v>
      </c>
      <c r="E213" t="n">
        <v>11.98</v>
      </c>
      <c r="F213" t="n">
        <v>11.52</v>
      </c>
      <c r="G213" t="n">
        <v>1.4</v>
      </c>
      <c r="H213" t="n">
        <v>76</v>
      </c>
      <c r="I213" t="n">
        <v>58</v>
      </c>
      <c r="J213" t="inlineStr">
        <is>
          <t>EOD</t>
        </is>
      </c>
      <c r="K213" t="n">
        <v>11.63</v>
      </c>
      <c r="L213" t="n">
        <v>-0.02</v>
      </c>
      <c r="M213" t="n">
        <v>-0.001716738197424856</v>
      </c>
      <c r="N213" t="n">
        <v>1</v>
      </c>
    </row>
    <row r="214">
      <c r="A214" t="inlineStr">
        <is>
          <t>2026-04-20</t>
        </is>
      </c>
      <c r="B214" t="inlineStr">
        <is>
          <t>14:31</t>
        </is>
      </c>
      <c r="C214" t="inlineStr">
        <is>
          <t>AEVA</t>
        </is>
      </c>
      <c r="D214" t="n">
        <v>15.64</v>
      </c>
      <c r="E214" t="n">
        <v>16.04</v>
      </c>
      <c r="F214" t="n">
        <v>15.48</v>
      </c>
      <c r="G214" t="n">
        <v>4.9</v>
      </c>
      <c r="H214" t="n">
        <v>55</v>
      </c>
      <c r="I214" t="n">
        <v>53</v>
      </c>
      <c r="J214" t="inlineStr">
        <is>
          <t>EOD</t>
        </is>
      </c>
      <c r="K214" t="n">
        <v>15.79</v>
      </c>
      <c r="L214" t="n">
        <v>0.15</v>
      </c>
      <c r="M214" t="n">
        <v>0.009590792838874589</v>
      </c>
      <c r="N214" t="n">
        <v>1</v>
      </c>
    </row>
    <row r="215">
      <c r="A215" t="inlineStr">
        <is>
          <t>2026-04-20</t>
        </is>
      </c>
      <c r="B215" t="inlineStr">
        <is>
          <t>14:31</t>
        </is>
      </c>
      <c r="C215" t="inlineStr">
        <is>
          <t>SBUX</t>
        </is>
      </c>
      <c r="D215" t="n">
        <v>99.43000000000001</v>
      </c>
      <c r="E215" t="n">
        <v>100.18</v>
      </c>
      <c r="F215" t="n">
        <v>99.13</v>
      </c>
      <c r="G215" t="n">
        <v>1.4</v>
      </c>
      <c r="H215" t="n">
        <v>56</v>
      </c>
      <c r="I215" t="n">
        <v>53</v>
      </c>
      <c r="J215" t="inlineStr">
        <is>
          <t>LOSS</t>
        </is>
      </c>
      <c r="K215" t="n">
        <v>99.13</v>
      </c>
      <c r="L215" t="n">
        <v>-0.3</v>
      </c>
      <c r="M215" t="n">
        <v>-0.003017198028764069</v>
      </c>
      <c r="N215" t="n">
        <v>1</v>
      </c>
    </row>
    <row r="216">
      <c r="A216" t="inlineStr">
        <is>
          <t>2026-04-20</t>
        </is>
      </c>
      <c r="B216" t="inlineStr">
        <is>
          <t>14:42</t>
        </is>
      </c>
      <c r="C216" t="inlineStr">
        <is>
          <t>APP</t>
        </is>
      </c>
      <c r="D216" t="n">
        <v>488.2</v>
      </c>
      <c r="E216" t="n">
        <v>494.98</v>
      </c>
      <c r="F216" t="n">
        <v>485.49</v>
      </c>
      <c r="G216" t="n">
        <v>1.4</v>
      </c>
      <c r="H216" t="n">
        <v>68</v>
      </c>
      <c r="I216" t="n">
        <v>79</v>
      </c>
      <c r="J216" t="inlineStr">
        <is>
          <t>EOD</t>
        </is>
      </c>
      <c r="K216" t="n">
        <v>490.96</v>
      </c>
      <c r="L216" t="n">
        <v>2.76</v>
      </c>
      <c r="M216" t="n">
        <v>0.005653420729209322</v>
      </c>
      <c r="N216" t="n">
        <v>1</v>
      </c>
    </row>
    <row r="217">
      <c r="A217" t="inlineStr">
        <is>
          <t>2026-04-20</t>
        </is>
      </c>
      <c r="B217" t="inlineStr">
        <is>
          <t>14:42</t>
        </is>
      </c>
      <c r="C217" t="inlineStr">
        <is>
          <t>V</t>
        </is>
      </c>
      <c r="D217" t="n">
        <v>313.01</v>
      </c>
      <c r="E217" t="n">
        <v>314.61</v>
      </c>
      <c r="F217" t="n">
        <v>312.37</v>
      </c>
      <c r="G217" t="n">
        <v>3.3</v>
      </c>
      <c r="H217" t="n">
        <v>44</v>
      </c>
      <c r="I217" t="n">
        <v>41</v>
      </c>
      <c r="J217" t="inlineStr">
        <is>
          <t>LOSS</t>
        </is>
      </c>
      <c r="K217" t="n">
        <v>312.37</v>
      </c>
      <c r="L217" t="n">
        <v>-0.64</v>
      </c>
      <c r="M217" t="n">
        <v>-0.002044663109804755</v>
      </c>
      <c r="N217" t="n">
        <v>1</v>
      </c>
    </row>
    <row r="218">
      <c r="A218" t="inlineStr">
        <is>
          <t>2026-04-20</t>
        </is>
      </c>
      <c r="B218" t="inlineStr">
        <is>
          <t>15:01</t>
        </is>
      </c>
      <c r="C218" t="inlineStr">
        <is>
          <t>F</t>
        </is>
      </c>
      <c r="D218" t="n">
        <v>12.82</v>
      </c>
      <c r="E218" t="n">
        <v>12.9</v>
      </c>
      <c r="F218" t="n">
        <v>12.79</v>
      </c>
      <c r="G218" t="n">
        <v>1.6</v>
      </c>
      <c r="H218" t="n">
        <v>55</v>
      </c>
      <c r="I218" t="n">
        <v>60</v>
      </c>
      <c r="J218" t="inlineStr">
        <is>
          <t>EOD</t>
        </is>
      </c>
      <c r="K218" t="n">
        <v>12.87</v>
      </c>
      <c r="L218" t="n">
        <v>0.05</v>
      </c>
      <c r="M218" t="n">
        <v>0.003900156006240166</v>
      </c>
      <c r="N218" t="n">
        <v>1</v>
      </c>
    </row>
    <row r="219">
      <c r="A219" t="inlineStr">
        <is>
          <t>2026-04-20</t>
        </is>
      </c>
      <c r="B219" t="inlineStr">
        <is>
          <t>15:01</t>
        </is>
      </c>
      <c r="C219" t="inlineStr">
        <is>
          <t>AMD</t>
        </is>
      </c>
      <c r="D219" t="n">
        <v>276.15</v>
      </c>
      <c r="E219" t="n">
        <v>279.35</v>
      </c>
      <c r="F219" t="n">
        <v>274.87</v>
      </c>
      <c r="G219" t="n">
        <v>2.1</v>
      </c>
      <c r="H219" t="n">
        <v>68</v>
      </c>
      <c r="I219" t="n">
        <v>58</v>
      </c>
      <c r="J219" t="inlineStr">
        <is>
          <t>LOSS</t>
        </is>
      </c>
      <c r="K219" t="n">
        <v>274.87</v>
      </c>
      <c r="L219" t="n">
        <v>-1.28</v>
      </c>
      <c r="M219" t="n">
        <v>-0.00463516204961062</v>
      </c>
      <c r="N219" t="n">
        <v>1</v>
      </c>
    </row>
    <row r="220">
      <c r="A220" t="inlineStr">
        <is>
          <t>2026-04-20</t>
        </is>
      </c>
      <c r="B220" t="inlineStr">
        <is>
          <t>15:01</t>
        </is>
      </c>
      <c r="C220" t="inlineStr">
        <is>
          <t>SOFI</t>
        </is>
      </c>
      <c r="D220" t="n">
        <v>19.51</v>
      </c>
      <c r="E220" t="n">
        <v>19.76</v>
      </c>
      <c r="F220" t="n">
        <v>19.41</v>
      </c>
      <c r="G220" t="n">
        <v>1.4</v>
      </c>
      <c r="H220" t="n">
        <v>62</v>
      </c>
      <c r="I220" t="n">
        <v>55</v>
      </c>
      <c r="J220" t="inlineStr">
        <is>
          <t>EOD</t>
        </is>
      </c>
      <c r="K220" t="n">
        <v>19.5</v>
      </c>
      <c r="L220" t="n">
        <v>-0.01</v>
      </c>
      <c r="M220" t="n">
        <v>-0.000512557662737138</v>
      </c>
      <c r="N220" t="n">
        <v>1</v>
      </c>
    </row>
    <row r="221">
      <c r="A221" t="inlineStr">
        <is>
          <t>2026-04-20</t>
        </is>
      </c>
      <c r="B221" t="inlineStr">
        <is>
          <t>15:01</t>
        </is>
      </c>
      <c r="C221" t="inlineStr">
        <is>
          <t>SNAP</t>
        </is>
      </c>
      <c r="D221" t="n">
        <v>6.03</v>
      </c>
      <c r="E221" t="n">
        <v>6.12</v>
      </c>
      <c r="F221" t="n">
        <v>5.98</v>
      </c>
      <c r="G221" t="n">
        <v>1.4</v>
      </c>
      <c r="H221" t="n">
        <v>70</v>
      </c>
      <c r="I221" t="n">
        <v>52</v>
      </c>
      <c r="J221" t="inlineStr">
        <is>
          <t>EOD</t>
        </is>
      </c>
      <c r="K221" t="n">
        <v>6</v>
      </c>
      <c r="L221" t="n">
        <v>-0.03</v>
      </c>
      <c r="M221" t="n">
        <v>-0.004975124378109493</v>
      </c>
      <c r="N221" t="n">
        <v>1</v>
      </c>
    </row>
    <row r="222">
      <c r="A222" t="inlineStr">
        <is>
          <t>2026-04-20</t>
        </is>
      </c>
      <c r="B222" t="inlineStr">
        <is>
          <t>15:31</t>
        </is>
      </c>
      <c r="C222" t="inlineStr">
        <is>
          <t>INTU</t>
        </is>
      </c>
      <c r="D222" t="n">
        <v>401.79</v>
      </c>
      <c r="E222" t="n">
        <v>405.64</v>
      </c>
      <c r="F222" t="n">
        <v>400.25</v>
      </c>
      <c r="G222" t="n">
        <v>1.9</v>
      </c>
      <c r="H222" t="n">
        <v>63</v>
      </c>
      <c r="I222" t="n">
        <v>69</v>
      </c>
      <c r="J222" t="inlineStr">
        <is>
          <t>EOD</t>
        </is>
      </c>
      <c r="K222" t="n">
        <v>404.83</v>
      </c>
      <c r="L222" t="n">
        <v>3.04</v>
      </c>
      <c r="M222" t="n">
        <v>0.00756614151671262</v>
      </c>
      <c r="N222" t="n">
        <v>1</v>
      </c>
    </row>
    <row r="223">
      <c r="A223" t="inlineStr">
        <is>
          <t>2026-04-20</t>
        </is>
      </c>
      <c r="B223" t="inlineStr">
        <is>
          <t>15:31</t>
        </is>
      </c>
      <c r="C223" t="inlineStr">
        <is>
          <t>LRCX</t>
        </is>
      </c>
      <c r="D223" t="n">
        <v>264.07</v>
      </c>
      <c r="E223" t="n">
        <v>266.35</v>
      </c>
      <c r="F223" t="n">
        <v>263.17</v>
      </c>
      <c r="G223" t="n">
        <v>3.5</v>
      </c>
      <c r="H223" t="n">
        <v>55</v>
      </c>
      <c r="I223" t="n">
        <v>59</v>
      </c>
      <c r="J223" t="inlineStr">
        <is>
          <t>LOSS</t>
        </is>
      </c>
      <c r="K223" t="n">
        <v>263.17</v>
      </c>
      <c r="L223" t="n">
        <v>-0.9</v>
      </c>
      <c r="M223" t="n">
        <v>-0.003408187223084702</v>
      </c>
      <c r="N223" t="n">
        <v>1</v>
      </c>
    </row>
    <row r="224">
      <c r="A224" t="inlineStr">
        <is>
          <t>2026-04-20</t>
        </is>
      </c>
      <c r="B224" t="inlineStr">
        <is>
          <t>15:31</t>
        </is>
      </c>
      <c r="C224" t="inlineStr">
        <is>
          <t>LITE</t>
        </is>
      </c>
      <c r="D224" t="n">
        <v>897.2</v>
      </c>
      <c r="E224" t="n">
        <v>912.58</v>
      </c>
      <c r="F224" t="n">
        <v>891.05</v>
      </c>
      <c r="G224" t="n">
        <v>1.9</v>
      </c>
      <c r="H224" t="n">
        <v>54</v>
      </c>
      <c r="I224" t="n">
        <v>51</v>
      </c>
      <c r="J224" t="inlineStr">
        <is>
          <t>EOD</t>
        </is>
      </c>
      <c r="K224" t="n">
        <v>895.11</v>
      </c>
      <c r="L224" t="n">
        <v>-2.09</v>
      </c>
      <c r="M224" t="n">
        <v>-0.00232946946054395</v>
      </c>
      <c r="N224" t="n">
        <v>1</v>
      </c>
    </row>
    <row r="225">
      <c r="A225" t="inlineStr">
        <is>
          <t>2026-04-20</t>
        </is>
      </c>
      <c r="B225" t="inlineStr">
        <is>
          <t>15:31</t>
        </is>
      </c>
      <c r="C225" t="inlineStr">
        <is>
          <t>USB</t>
        </is>
      </c>
      <c r="D225" t="n">
        <v>57.22</v>
      </c>
      <c r="E225" t="n">
        <v>57.52</v>
      </c>
      <c r="F225" t="n">
        <v>57.1</v>
      </c>
      <c r="G225" t="n">
        <v>1.3</v>
      </c>
      <c r="H225" t="n">
        <v>51</v>
      </c>
      <c r="I225" t="n">
        <v>50</v>
      </c>
      <c r="J225" t="inlineStr">
        <is>
          <t>LOSS</t>
        </is>
      </c>
      <c r="K225" t="n">
        <v>57.1</v>
      </c>
      <c r="L225" t="n">
        <v>-0.12</v>
      </c>
      <c r="M225" t="n">
        <v>-0.002097168822090134</v>
      </c>
      <c r="N225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2"/>
    <col width="8" customWidth="1" style="48" min="3" max="5"/>
    <col width="12" customWidth="1" style="48" min="6" max="10"/>
    <col width="30" customWidth="1" style="48" min="11" max="11"/>
  </cols>
  <sheetData>
    <row r="1" ht="30" customHeight="1" s="49">
      <c r="A1" s="50" t="inlineStr">
        <is>
          <t>Date</t>
        </is>
      </c>
      <c r="B1" s="50" t="inlineStr">
        <is>
          <t>Total Picks</t>
        </is>
      </c>
      <c r="C1" s="50" t="inlineStr">
        <is>
          <t>Wins</t>
        </is>
      </c>
      <c r="D1" s="50" t="inlineStr">
        <is>
          <t>Losses</t>
        </is>
      </c>
      <c r="E1" s="50" t="inlineStr">
        <is>
          <t>EOD</t>
        </is>
      </c>
      <c r="F1" s="50" t="inlineStr">
        <is>
          <t>Win Rate %</t>
        </is>
      </c>
      <c r="G1" s="50" t="inlineStr">
        <is>
          <t>Net P&amp;L $</t>
        </is>
      </c>
      <c r="H1" s="50" t="inlineStr">
        <is>
          <t>Avg Win $</t>
        </is>
      </c>
      <c r="I1" s="50" t="inlineStr">
        <is>
          <t>Avg Loss $</t>
        </is>
      </c>
      <c r="J1" s="50" t="inlineStr">
        <is>
          <t>Actual R:R</t>
        </is>
      </c>
      <c r="K1" s="50" t="inlineStr">
        <is>
          <t>Notes</t>
        </is>
      </c>
    </row>
    <row r="2" ht="15" customHeight="1" s="49">
      <c r="A2" s="51" t="inlineStr">
        <is>
          <t>2026-04-15</t>
        </is>
      </c>
      <c r="B2" s="56">
        <f>COUNTIF('Trade Log'!$A:$A,"2026-04-15")</f>
        <v/>
      </c>
      <c r="C2" s="56">
        <f>COUNTIFS('Trade Log'!$A:$A,"2026-04-15",'Trade Log'!$J:$J,"WIN")</f>
        <v/>
      </c>
      <c r="D2" s="56">
        <f>COUNTIFS('Trade Log'!$A:$A,"2026-04-15",'Trade Log'!$J:$J,"LOSS")</f>
        <v/>
      </c>
      <c r="E2" s="56">
        <f>COUNTIFS('Trade Log'!$A:$A,"2026-04-15",'Trade Log'!$J:$J,"EOD")</f>
        <v/>
      </c>
      <c r="F2" s="74">
        <f>IFERROR(C2/(C2+D2),"-")</f>
        <v/>
      </c>
      <c r="G2" s="75">
        <f>SUMIF('Trade Log'!$A:$A,"2026-04-15",'Trade Log'!$L:$L)</f>
        <v/>
      </c>
      <c r="H2" s="54">
        <f>IFERROR(AVERAGEIFS('Trade Log'!$L:$L,'Trade Log'!$A:$A,"2026-04-15",'Trade Log'!$J:$J,"WIN"),"-")</f>
        <v/>
      </c>
      <c r="I2" s="54">
        <f>IFERROR(ABS(AVERAGEIFS('Trade Log'!$L:$L,'Trade Log'!$A:$A,"2026-04-15",'Trade Log'!$J:$J,"LOSS")),"-")</f>
        <v/>
      </c>
      <c r="J2" s="76">
        <f>IFERROR(H2/I2,"-")</f>
        <v/>
      </c>
      <c r="K2" s="77" t="n"/>
    </row>
    <row r="3" ht="15" customHeight="1" s="49">
      <c r="A3" s="60" t="inlineStr">
        <is>
          <t>2026-04-16</t>
        </is>
      </c>
      <c r="B3" s="65">
        <f>COUNTIF('Trade Log'!$A:$A,"2026-04-16")</f>
        <v/>
      </c>
      <c r="C3" s="65">
        <f>COUNTIFS('Trade Log'!$A:$A,"2026-04-16",'Trade Log'!$J:$J,"WIN")</f>
        <v/>
      </c>
      <c r="D3" s="65">
        <f>COUNTIFS('Trade Log'!$A:$A,"2026-04-16",'Trade Log'!$J:$J,"LOSS")</f>
        <v/>
      </c>
      <c r="E3" s="65">
        <f>COUNTIFS('Trade Log'!$A:$A,"2026-04-16",'Trade Log'!$J:$J,"EOD")</f>
        <v/>
      </c>
      <c r="F3" s="78">
        <f>IFERROR(C3/(C3+D3),"-")</f>
        <v/>
      </c>
      <c r="G3" s="79">
        <f>SUMIF('Trade Log'!$A:$A,"2026-04-16",'Trade Log'!$L:$L)</f>
        <v/>
      </c>
      <c r="H3" s="63">
        <f>IFERROR(AVERAGEIFS('Trade Log'!$L:$L,'Trade Log'!$A:$A,"2026-04-16",'Trade Log'!$J:$J,"WIN"),"-")</f>
        <v/>
      </c>
      <c r="I3" s="63">
        <f>IFERROR(ABS(AVERAGEIFS('Trade Log'!$L:$L,'Trade Log'!$A:$A,"2026-04-16",'Trade Log'!$J:$J,"LOSS")),"-")</f>
        <v/>
      </c>
      <c r="J3" s="80">
        <f>IFERROR(H3/I3,"-")</f>
        <v/>
      </c>
      <c r="K3" s="81" t="n"/>
    </row>
    <row r="4" ht="15" customHeight="1" s="49">
      <c r="A4" s="82" t="inlineStr">
        <is>
          <t>TOTAL</t>
        </is>
      </c>
      <c r="B4" s="83">
        <f>SUM(B2:B3)</f>
        <v/>
      </c>
      <c r="C4" s="83">
        <f>SUM(C2:C3)</f>
        <v/>
      </c>
      <c r="D4" s="83">
        <f>SUM(D2:D3)</f>
        <v/>
      </c>
      <c r="E4" s="83">
        <f>SUM(E2:E3)</f>
        <v/>
      </c>
      <c r="F4" s="84">
        <f>IFERROR(C4/(C4+D4),"-")</f>
        <v/>
      </c>
      <c r="G4" s="85">
        <f>SUM(G2:G3)</f>
        <v/>
      </c>
    </row>
    <row r="5">
      <c r="A5" t="inlineStr">
        <is>
          <t>2026-04-20</t>
        </is>
      </c>
      <c r="B5" t="n">
        <v>65</v>
      </c>
      <c r="C5" t="n">
        <v>8</v>
      </c>
      <c r="D5" t="n">
        <v>33</v>
      </c>
      <c r="E5" t="n">
        <v>24</v>
      </c>
      <c r="F5" t="n">
        <v>19.51</v>
      </c>
      <c r="G5" t="n">
        <v>10.02</v>
      </c>
      <c r="H5" t="n">
        <v>2.55</v>
      </c>
      <c r="I5" t="n">
        <v>-1.0103</v>
      </c>
      <c r="J5" t="n">
        <v>2.524</v>
      </c>
      <c r="K5" t="inlineStr">
        <is>
          <t>10 post-close picks excluded; SQ resolved via XYZ ticker (Block rebrand)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G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48" min="1" max="1"/>
    <col width="14" customWidth="1" style="48" min="2" max="2"/>
    <col width="8" customWidth="1" style="48" min="3" max="6"/>
    <col width="12" customWidth="1" style="48" min="7" max="7"/>
  </cols>
  <sheetData>
    <row r="1" ht="30" customHeight="1" s="49">
      <c r="A1" s="50" t="inlineStr">
        <is>
          <t>Date</t>
        </is>
      </c>
      <c r="B1" s="50" t="inlineStr">
        <is>
          <t>Batch Time</t>
        </is>
      </c>
      <c r="C1" s="50" t="inlineStr">
        <is>
          <t>Picks</t>
        </is>
      </c>
      <c r="D1" s="50" t="inlineStr">
        <is>
          <t>Wins</t>
        </is>
      </c>
      <c r="E1" s="50" t="inlineStr">
        <is>
          <t>Losses</t>
        </is>
      </c>
      <c r="F1" s="50" t="inlineStr">
        <is>
          <t>EOD</t>
        </is>
      </c>
      <c r="G1" s="50" t="inlineStr">
        <is>
          <t>Win Rate %</t>
        </is>
      </c>
    </row>
    <row r="2" ht="15" customHeight="1" s="49">
      <c r="A2" s="51" t="inlineStr">
        <is>
          <t>2026-04-15</t>
        </is>
      </c>
      <c r="B2" s="86" t="inlineStr">
        <is>
          <t>09:31</t>
        </is>
      </c>
      <c r="C2" s="56">
        <f>COUNTIFS('Trade Log'!$A:$A,"2026-04-15",'Trade Log'!$B:$B,"09:31")</f>
        <v/>
      </c>
      <c r="D2" s="56">
        <f>COUNTIFS('Trade Log'!$A:$A,"2026-04-15",'Trade Log'!$B:$B,"09:31",'Trade Log'!$J:$J,"WIN")</f>
        <v/>
      </c>
      <c r="E2" s="56">
        <f>COUNTIFS('Trade Log'!$A:$A,"2026-04-15",'Trade Log'!$B:$B,"09:31",'Trade Log'!$J:$J,"LOSS")</f>
        <v/>
      </c>
      <c r="F2" s="56">
        <f>COUNTIFS('Trade Log'!$A:$A,"2026-04-15",'Trade Log'!$B:$B,"09:31",'Trade Log'!$J:$J,"EOD")</f>
        <v/>
      </c>
      <c r="G2" s="74">
        <f>IFERROR(D2/(D2+E2),"-")</f>
        <v/>
      </c>
    </row>
    <row r="3" ht="15" customHeight="1" s="49">
      <c r="A3" s="60" t="inlineStr">
        <is>
          <t>2026-04-15</t>
        </is>
      </c>
      <c r="B3" s="87" t="inlineStr">
        <is>
          <t>10:01</t>
        </is>
      </c>
      <c r="C3" s="65">
        <f>COUNTIFS('Trade Log'!$A:$A,"2026-04-15",'Trade Log'!$B:$B,"10:01")</f>
        <v/>
      </c>
      <c r="D3" s="65">
        <f>COUNTIFS('Trade Log'!$A:$A,"2026-04-15",'Trade Log'!$B:$B,"10:01",'Trade Log'!$J:$J,"WIN")</f>
        <v/>
      </c>
      <c r="E3" s="65">
        <f>COUNTIFS('Trade Log'!$A:$A,"2026-04-15",'Trade Log'!$B:$B,"10:01",'Trade Log'!$J:$J,"LOSS")</f>
        <v/>
      </c>
      <c r="F3" s="65">
        <f>COUNTIFS('Trade Log'!$A:$A,"2026-04-15",'Trade Log'!$B:$B,"10:01",'Trade Log'!$J:$J,"EOD")</f>
        <v/>
      </c>
      <c r="G3" s="78">
        <f>IFERROR(D3/(D3+E3),"-")</f>
        <v/>
      </c>
    </row>
    <row r="4" ht="15" customHeight="1" s="49">
      <c r="A4" s="51" t="inlineStr">
        <is>
          <t>2026-04-15</t>
        </is>
      </c>
      <c r="B4" s="86" t="inlineStr">
        <is>
          <t>10:31</t>
        </is>
      </c>
      <c r="C4" s="56">
        <f>COUNTIFS('Trade Log'!$A:$A,"2026-04-15",'Trade Log'!$B:$B,"10:31")</f>
        <v/>
      </c>
      <c r="D4" s="56">
        <f>COUNTIFS('Trade Log'!$A:$A,"2026-04-15",'Trade Log'!$B:$B,"10:31",'Trade Log'!$J:$J,"WIN")</f>
        <v/>
      </c>
      <c r="E4" s="56">
        <f>COUNTIFS('Trade Log'!$A:$A,"2026-04-15",'Trade Log'!$B:$B,"10:31",'Trade Log'!$J:$J,"LOSS")</f>
        <v/>
      </c>
      <c r="F4" s="56">
        <f>COUNTIFS('Trade Log'!$A:$A,"2026-04-15",'Trade Log'!$B:$B,"10:31",'Trade Log'!$J:$J,"EOD")</f>
        <v/>
      </c>
      <c r="G4" s="74">
        <f>IFERROR(D4/(D4+E4),"-")</f>
        <v/>
      </c>
    </row>
    <row r="5" ht="15" customHeight="1" s="49">
      <c r="A5" s="60" t="inlineStr">
        <is>
          <t>2026-04-15</t>
        </is>
      </c>
      <c r="B5" s="87" t="inlineStr">
        <is>
          <t>11:01</t>
        </is>
      </c>
      <c r="C5" s="65">
        <f>COUNTIFS('Trade Log'!$A:$A,"2026-04-15",'Trade Log'!$B:$B,"11:01")</f>
        <v/>
      </c>
      <c r="D5" s="65">
        <f>COUNTIFS('Trade Log'!$A:$A,"2026-04-15",'Trade Log'!$B:$B,"11:01",'Trade Log'!$J:$J,"WIN")</f>
        <v/>
      </c>
      <c r="E5" s="65">
        <f>COUNTIFS('Trade Log'!$A:$A,"2026-04-15",'Trade Log'!$B:$B,"11:01",'Trade Log'!$J:$J,"LOSS")</f>
        <v/>
      </c>
      <c r="F5" s="65">
        <f>COUNTIFS('Trade Log'!$A:$A,"2026-04-15",'Trade Log'!$B:$B,"11:01",'Trade Log'!$J:$J,"EOD")</f>
        <v/>
      </c>
      <c r="G5" s="78">
        <f>IFERROR(D5/(D5+E5),"-")</f>
        <v/>
      </c>
    </row>
    <row r="6" ht="15" customHeight="1" s="49">
      <c r="A6" s="51" t="inlineStr">
        <is>
          <t>2026-04-15</t>
        </is>
      </c>
      <c r="B6" s="86" t="inlineStr">
        <is>
          <t>11:31</t>
        </is>
      </c>
      <c r="C6" s="56">
        <f>COUNTIFS('Trade Log'!$A:$A,"2026-04-15",'Trade Log'!$B:$B,"11:31")</f>
        <v/>
      </c>
      <c r="D6" s="56">
        <f>COUNTIFS('Trade Log'!$A:$A,"2026-04-15",'Trade Log'!$B:$B,"11:31",'Trade Log'!$J:$J,"WIN")</f>
        <v/>
      </c>
      <c r="E6" s="56">
        <f>COUNTIFS('Trade Log'!$A:$A,"2026-04-15",'Trade Log'!$B:$B,"11:31",'Trade Log'!$J:$J,"LOSS")</f>
        <v/>
      </c>
      <c r="F6" s="56">
        <f>COUNTIFS('Trade Log'!$A:$A,"2026-04-15",'Trade Log'!$B:$B,"11:31",'Trade Log'!$J:$J,"EOD")</f>
        <v/>
      </c>
      <c r="G6" s="74">
        <f>IFERROR(D6/(D6+E6),"-")</f>
        <v/>
      </c>
    </row>
    <row r="7" ht="15" customHeight="1" s="49">
      <c r="A7" s="60" t="inlineStr">
        <is>
          <t>2026-04-15</t>
        </is>
      </c>
      <c r="B7" s="87" t="inlineStr">
        <is>
          <t>12:01</t>
        </is>
      </c>
      <c r="C7" s="65">
        <f>COUNTIFS('Trade Log'!$A:$A,"2026-04-15",'Trade Log'!$B:$B,"12:01")</f>
        <v/>
      </c>
      <c r="D7" s="65">
        <f>COUNTIFS('Trade Log'!$A:$A,"2026-04-15",'Trade Log'!$B:$B,"12:01",'Trade Log'!$J:$J,"WIN")</f>
        <v/>
      </c>
      <c r="E7" s="65">
        <f>COUNTIFS('Trade Log'!$A:$A,"2026-04-15",'Trade Log'!$B:$B,"12:01",'Trade Log'!$J:$J,"LOSS")</f>
        <v/>
      </c>
      <c r="F7" s="65">
        <f>COUNTIFS('Trade Log'!$A:$A,"2026-04-15",'Trade Log'!$B:$B,"12:01",'Trade Log'!$J:$J,"EOD")</f>
        <v/>
      </c>
      <c r="G7" s="78">
        <f>IFERROR(D7/(D7+E7),"-")</f>
        <v/>
      </c>
    </row>
    <row r="8" ht="15" customHeight="1" s="49">
      <c r="A8" s="51" t="inlineStr">
        <is>
          <t>2026-04-15</t>
        </is>
      </c>
      <c r="B8" s="86" t="inlineStr">
        <is>
          <t>12:31</t>
        </is>
      </c>
      <c r="C8" s="56">
        <f>COUNTIFS('Trade Log'!$A:$A,"2026-04-15",'Trade Log'!$B:$B,"12:31")</f>
        <v/>
      </c>
      <c r="D8" s="56">
        <f>COUNTIFS('Trade Log'!$A:$A,"2026-04-15",'Trade Log'!$B:$B,"12:31",'Trade Log'!$J:$J,"WIN")</f>
        <v/>
      </c>
      <c r="E8" s="56">
        <f>COUNTIFS('Trade Log'!$A:$A,"2026-04-15",'Trade Log'!$B:$B,"12:31",'Trade Log'!$J:$J,"LOSS")</f>
        <v/>
      </c>
      <c r="F8" s="56">
        <f>COUNTIFS('Trade Log'!$A:$A,"2026-04-15",'Trade Log'!$B:$B,"12:31",'Trade Log'!$J:$J,"EOD")</f>
        <v/>
      </c>
      <c r="G8" s="74">
        <f>IFERROR(D8/(D8+E8),"-")</f>
        <v/>
      </c>
    </row>
    <row r="9" ht="15" customHeight="1" s="49">
      <c r="A9" s="60" t="inlineStr">
        <is>
          <t>2026-04-15</t>
        </is>
      </c>
      <c r="B9" s="87" t="inlineStr">
        <is>
          <t>13:01</t>
        </is>
      </c>
      <c r="C9" s="65">
        <f>COUNTIFS('Trade Log'!$A:$A,"2026-04-15",'Trade Log'!$B:$B,"13:01")</f>
        <v/>
      </c>
      <c r="D9" s="65">
        <f>COUNTIFS('Trade Log'!$A:$A,"2026-04-15",'Trade Log'!$B:$B,"13:01",'Trade Log'!$J:$J,"WIN")</f>
        <v/>
      </c>
      <c r="E9" s="65">
        <f>COUNTIFS('Trade Log'!$A:$A,"2026-04-15",'Trade Log'!$B:$B,"13:01",'Trade Log'!$J:$J,"LOSS")</f>
        <v/>
      </c>
      <c r="F9" s="65">
        <f>COUNTIFS('Trade Log'!$A:$A,"2026-04-15",'Trade Log'!$B:$B,"13:01",'Trade Log'!$J:$J,"EOD")</f>
        <v/>
      </c>
      <c r="G9" s="78">
        <f>IFERROR(D9/(D9+E9),"-")</f>
        <v/>
      </c>
    </row>
    <row r="10" ht="15" customHeight="1" s="49">
      <c r="A10" s="51" t="inlineStr">
        <is>
          <t>2026-04-15</t>
        </is>
      </c>
      <c r="B10" s="86" t="inlineStr">
        <is>
          <t>13:31</t>
        </is>
      </c>
      <c r="C10" s="56">
        <f>COUNTIFS('Trade Log'!$A:$A,"2026-04-15",'Trade Log'!$B:$B,"13:31")</f>
        <v/>
      </c>
      <c r="D10" s="56">
        <f>COUNTIFS('Trade Log'!$A:$A,"2026-04-15",'Trade Log'!$B:$B,"13:31",'Trade Log'!$J:$J,"WIN")</f>
        <v/>
      </c>
      <c r="E10" s="56">
        <f>COUNTIFS('Trade Log'!$A:$A,"2026-04-15",'Trade Log'!$B:$B,"13:31",'Trade Log'!$J:$J,"LOSS")</f>
        <v/>
      </c>
      <c r="F10" s="56">
        <f>COUNTIFS('Trade Log'!$A:$A,"2026-04-15",'Trade Log'!$B:$B,"13:31",'Trade Log'!$J:$J,"EOD")</f>
        <v/>
      </c>
      <c r="G10" s="74">
        <f>IFERROR(D10/(D10+E10),"-")</f>
        <v/>
      </c>
    </row>
    <row r="11" ht="15" customHeight="1" s="49">
      <c r="A11" s="60" t="inlineStr">
        <is>
          <t>2026-04-15</t>
        </is>
      </c>
      <c r="B11" s="87" t="inlineStr">
        <is>
          <t>14:01</t>
        </is>
      </c>
      <c r="C11" s="65">
        <f>COUNTIFS('Trade Log'!$A:$A,"2026-04-15",'Trade Log'!$B:$B,"14:01")</f>
        <v/>
      </c>
      <c r="D11" s="65">
        <f>COUNTIFS('Trade Log'!$A:$A,"2026-04-15",'Trade Log'!$B:$B,"14:01",'Trade Log'!$J:$J,"WIN")</f>
        <v/>
      </c>
      <c r="E11" s="65">
        <f>COUNTIFS('Trade Log'!$A:$A,"2026-04-15",'Trade Log'!$B:$B,"14:01",'Trade Log'!$J:$J,"LOSS")</f>
        <v/>
      </c>
      <c r="F11" s="65">
        <f>COUNTIFS('Trade Log'!$A:$A,"2026-04-15",'Trade Log'!$B:$B,"14:01",'Trade Log'!$J:$J,"EOD")</f>
        <v/>
      </c>
      <c r="G11" s="78">
        <f>IFERROR(D11/(D11+E11),"-")</f>
        <v/>
      </c>
    </row>
    <row r="12" ht="15" customHeight="1" s="49">
      <c r="A12" s="51" t="inlineStr">
        <is>
          <t>2026-04-15</t>
        </is>
      </c>
      <c r="B12" s="86" t="inlineStr">
        <is>
          <t>14:31</t>
        </is>
      </c>
      <c r="C12" s="56">
        <f>COUNTIFS('Trade Log'!$A:$A,"2026-04-15",'Trade Log'!$B:$B,"14:31")</f>
        <v/>
      </c>
      <c r="D12" s="56">
        <f>COUNTIFS('Trade Log'!$A:$A,"2026-04-15",'Trade Log'!$B:$B,"14:31",'Trade Log'!$J:$J,"WIN")</f>
        <v/>
      </c>
      <c r="E12" s="56">
        <f>COUNTIFS('Trade Log'!$A:$A,"2026-04-15",'Trade Log'!$B:$B,"14:31",'Trade Log'!$J:$J,"LOSS")</f>
        <v/>
      </c>
      <c r="F12" s="56">
        <f>COUNTIFS('Trade Log'!$A:$A,"2026-04-15",'Trade Log'!$B:$B,"14:31",'Trade Log'!$J:$J,"EOD")</f>
        <v/>
      </c>
      <c r="G12" s="74">
        <f>IFERROR(D12/(D12+E12),"-")</f>
        <v/>
      </c>
    </row>
    <row r="13" ht="15" customHeight="1" s="49">
      <c r="A13" s="60" t="inlineStr">
        <is>
          <t>2026-04-15</t>
        </is>
      </c>
      <c r="B13" s="87" t="inlineStr">
        <is>
          <t>15:01</t>
        </is>
      </c>
      <c r="C13" s="65">
        <f>COUNTIFS('Trade Log'!$A:$A,"2026-04-15",'Trade Log'!$B:$B,"15:01")</f>
        <v/>
      </c>
      <c r="D13" s="65">
        <f>COUNTIFS('Trade Log'!$A:$A,"2026-04-15",'Trade Log'!$B:$B,"15:01",'Trade Log'!$J:$J,"WIN")</f>
        <v/>
      </c>
      <c r="E13" s="65">
        <f>COUNTIFS('Trade Log'!$A:$A,"2026-04-15",'Trade Log'!$B:$B,"15:01",'Trade Log'!$J:$J,"LOSS")</f>
        <v/>
      </c>
      <c r="F13" s="65">
        <f>COUNTIFS('Trade Log'!$A:$A,"2026-04-15",'Trade Log'!$B:$B,"15:01",'Trade Log'!$J:$J,"EOD")</f>
        <v/>
      </c>
      <c r="G13" s="78">
        <f>IFERROR(D13/(D13+E13),"-")</f>
        <v/>
      </c>
    </row>
    <row r="14" ht="15" customHeight="1" s="49">
      <c r="A14" s="51" t="inlineStr">
        <is>
          <t>2026-04-15</t>
        </is>
      </c>
      <c r="B14" s="86" t="inlineStr">
        <is>
          <t>15:31</t>
        </is>
      </c>
      <c r="C14" s="56">
        <f>COUNTIFS('Trade Log'!$A:$A,"2026-04-15",'Trade Log'!$B:$B,"15:31")</f>
        <v/>
      </c>
      <c r="D14" s="56">
        <f>COUNTIFS('Trade Log'!$A:$A,"2026-04-15",'Trade Log'!$B:$B,"15:31",'Trade Log'!$J:$J,"WIN")</f>
        <v/>
      </c>
      <c r="E14" s="56">
        <f>COUNTIFS('Trade Log'!$A:$A,"2026-04-15",'Trade Log'!$B:$B,"15:31",'Trade Log'!$J:$J,"LOSS")</f>
        <v/>
      </c>
      <c r="F14" s="56">
        <f>COUNTIFS('Trade Log'!$A:$A,"2026-04-15",'Trade Log'!$B:$B,"15:31",'Trade Log'!$J:$J,"EOD")</f>
        <v/>
      </c>
      <c r="G14" s="74">
        <f>IFERROR(D14/(D14+E14),"-")</f>
        <v/>
      </c>
    </row>
    <row r="15" ht="15" customHeight="1" s="49">
      <c r="A15" s="60" t="inlineStr">
        <is>
          <t>2026-04-16</t>
        </is>
      </c>
      <c r="B15" s="87" t="inlineStr">
        <is>
          <t>09:31</t>
        </is>
      </c>
      <c r="C15" s="65">
        <f>COUNTIFS('Trade Log'!$A:$A,"2026-04-16",'Trade Log'!$B:$B,"09:31")</f>
        <v/>
      </c>
      <c r="D15" s="65">
        <f>COUNTIFS('Trade Log'!$A:$A,"2026-04-16",'Trade Log'!$B:$B,"09:31",'Trade Log'!$J:$J,"WIN")</f>
        <v/>
      </c>
      <c r="E15" s="65">
        <f>COUNTIFS('Trade Log'!$A:$A,"2026-04-16",'Trade Log'!$B:$B,"09:31",'Trade Log'!$J:$J,"LOSS")</f>
        <v/>
      </c>
      <c r="F15" s="65">
        <f>COUNTIFS('Trade Log'!$A:$A,"2026-04-16",'Trade Log'!$B:$B,"09:31",'Trade Log'!$J:$J,"EOD")</f>
        <v/>
      </c>
      <c r="G15" s="78">
        <f>IFERROR(D15/(D15+E15),"-")</f>
        <v/>
      </c>
    </row>
    <row r="16" ht="15" customHeight="1" s="49">
      <c r="A16" s="51" t="inlineStr">
        <is>
          <t>2026-04-16</t>
        </is>
      </c>
      <c r="B16" s="86" t="inlineStr">
        <is>
          <t>10:02</t>
        </is>
      </c>
      <c r="C16" s="56">
        <f>COUNTIFS('Trade Log'!$A:$A,"2026-04-16",'Trade Log'!$B:$B,"10:02")</f>
        <v/>
      </c>
      <c r="D16" s="56">
        <f>COUNTIFS('Trade Log'!$A:$A,"2026-04-16",'Trade Log'!$B:$B,"10:02",'Trade Log'!$J:$J,"WIN")</f>
        <v/>
      </c>
      <c r="E16" s="56">
        <f>COUNTIFS('Trade Log'!$A:$A,"2026-04-16",'Trade Log'!$B:$B,"10:02",'Trade Log'!$J:$J,"LOSS")</f>
        <v/>
      </c>
      <c r="F16" s="56">
        <f>COUNTIFS('Trade Log'!$A:$A,"2026-04-16",'Trade Log'!$B:$B,"10:02",'Trade Log'!$J:$J,"EOD")</f>
        <v/>
      </c>
      <c r="G16" s="74">
        <f>IFERROR(D16/(D16+E16),"-")</f>
        <v/>
      </c>
    </row>
    <row r="17" ht="15" customHeight="1" s="49">
      <c r="A17" s="60" t="inlineStr">
        <is>
          <t>2026-04-16</t>
        </is>
      </c>
      <c r="B17" s="87" t="inlineStr">
        <is>
          <t>10:31</t>
        </is>
      </c>
      <c r="C17" s="65">
        <f>COUNTIFS('Trade Log'!$A:$A,"2026-04-16",'Trade Log'!$B:$B,"10:31")</f>
        <v/>
      </c>
      <c r="D17" s="65">
        <f>COUNTIFS('Trade Log'!$A:$A,"2026-04-16",'Trade Log'!$B:$B,"10:31",'Trade Log'!$J:$J,"WIN")</f>
        <v/>
      </c>
      <c r="E17" s="65">
        <f>COUNTIFS('Trade Log'!$A:$A,"2026-04-16",'Trade Log'!$B:$B,"10:31",'Trade Log'!$J:$J,"LOSS")</f>
        <v/>
      </c>
      <c r="F17" s="65">
        <f>COUNTIFS('Trade Log'!$A:$A,"2026-04-16",'Trade Log'!$B:$B,"10:31",'Trade Log'!$J:$J,"EOD")</f>
        <v/>
      </c>
      <c r="G17" s="78">
        <f>IFERROR(D17/(D17+E17),"-")</f>
        <v/>
      </c>
    </row>
    <row r="18" ht="15" customHeight="1" s="49">
      <c r="A18" s="51" t="inlineStr">
        <is>
          <t>2026-04-16</t>
        </is>
      </c>
      <c r="B18" s="86" t="inlineStr">
        <is>
          <t>11:01</t>
        </is>
      </c>
      <c r="C18" s="56">
        <f>COUNTIFS('Trade Log'!$A:$A,"2026-04-16",'Trade Log'!$B:$B,"11:01")</f>
        <v/>
      </c>
      <c r="D18" s="56">
        <f>COUNTIFS('Trade Log'!$A:$A,"2026-04-16",'Trade Log'!$B:$B,"11:01",'Trade Log'!$J:$J,"WIN")</f>
        <v/>
      </c>
      <c r="E18" s="56">
        <f>COUNTIFS('Trade Log'!$A:$A,"2026-04-16",'Trade Log'!$B:$B,"11:01",'Trade Log'!$J:$J,"LOSS")</f>
        <v/>
      </c>
      <c r="F18" s="56">
        <f>COUNTIFS('Trade Log'!$A:$A,"2026-04-16",'Trade Log'!$B:$B,"11:01",'Trade Log'!$J:$J,"EOD")</f>
        <v/>
      </c>
      <c r="G18" s="74">
        <f>IFERROR(D18/(D18+E18),"-")</f>
        <v/>
      </c>
    </row>
    <row r="19" ht="15" customHeight="1" s="49">
      <c r="A19" s="60" t="inlineStr">
        <is>
          <t>2026-04-16</t>
        </is>
      </c>
      <c r="B19" s="87" t="inlineStr">
        <is>
          <t>11:31</t>
        </is>
      </c>
      <c r="C19" s="65">
        <f>COUNTIFS('Trade Log'!$A:$A,"2026-04-16",'Trade Log'!$B:$B,"11:31")</f>
        <v/>
      </c>
      <c r="D19" s="65">
        <f>COUNTIFS('Trade Log'!$A:$A,"2026-04-16",'Trade Log'!$B:$B,"11:31",'Trade Log'!$J:$J,"WIN")</f>
        <v/>
      </c>
      <c r="E19" s="65">
        <f>COUNTIFS('Trade Log'!$A:$A,"2026-04-16",'Trade Log'!$B:$B,"11:31",'Trade Log'!$J:$J,"LOSS")</f>
        <v/>
      </c>
      <c r="F19" s="65">
        <f>COUNTIFS('Trade Log'!$A:$A,"2026-04-16",'Trade Log'!$B:$B,"11:31",'Trade Log'!$J:$J,"EOD")</f>
        <v/>
      </c>
      <c r="G19" s="78">
        <f>IFERROR(D19/(D19+E19),"-")</f>
        <v/>
      </c>
    </row>
    <row r="20">
      <c r="A20" t="inlineStr">
        <is>
          <t>2026-04-20</t>
        </is>
      </c>
      <c r="B20" t="inlineStr">
        <is>
          <t>11:51</t>
        </is>
      </c>
      <c r="C20" t="n">
        <v>5</v>
      </c>
      <c r="D20" t="n">
        <v>1</v>
      </c>
      <c r="E20" t="n">
        <v>3</v>
      </c>
      <c r="F20" t="n">
        <v>1</v>
      </c>
      <c r="G20" t="n">
        <v>25</v>
      </c>
    </row>
    <row r="21">
      <c r="A21" t="inlineStr">
        <is>
          <t>2026-04-20</t>
        </is>
      </c>
      <c r="B21" t="inlineStr">
        <is>
          <t>12:03</t>
        </is>
      </c>
      <c r="C21" t="n">
        <v>15</v>
      </c>
      <c r="D21" t="n">
        <v>0</v>
      </c>
      <c r="E21" t="n">
        <v>9</v>
      </c>
      <c r="F21" t="n">
        <v>6</v>
      </c>
      <c r="G21" t="n">
        <v>0</v>
      </c>
    </row>
    <row r="22">
      <c r="A22" t="inlineStr">
        <is>
          <t>2026-04-20</t>
        </is>
      </c>
      <c r="B22" t="inlineStr">
        <is>
          <t>12:07</t>
        </is>
      </c>
      <c r="C22" t="n">
        <v>5</v>
      </c>
      <c r="D22" t="n">
        <v>1</v>
      </c>
      <c r="E22" t="n">
        <v>4</v>
      </c>
      <c r="F22" t="n">
        <v>0</v>
      </c>
      <c r="G22" t="n">
        <v>20</v>
      </c>
    </row>
    <row r="23">
      <c r="A23" t="inlineStr">
        <is>
          <t>2026-04-20</t>
        </is>
      </c>
      <c r="B23" t="inlineStr">
        <is>
          <t>12:13</t>
        </is>
      </c>
      <c r="C23" t="n">
        <v>4</v>
      </c>
      <c r="D23" t="n">
        <v>1</v>
      </c>
      <c r="E23" t="n">
        <v>3</v>
      </c>
      <c r="F23" t="n">
        <v>0</v>
      </c>
      <c r="G23" t="n">
        <v>25</v>
      </c>
    </row>
    <row r="24">
      <c r="A24" t="inlineStr">
        <is>
          <t>2026-04-20</t>
        </is>
      </c>
      <c r="B24" t="inlineStr">
        <is>
          <t>12:31</t>
        </is>
      </c>
      <c r="C24" t="n">
        <v>2</v>
      </c>
      <c r="D24" t="n">
        <v>1</v>
      </c>
      <c r="E24" t="n">
        <v>0</v>
      </c>
      <c r="F24" t="n">
        <v>1</v>
      </c>
      <c r="G24" t="n">
        <v>100</v>
      </c>
    </row>
    <row r="25">
      <c r="A25" t="inlineStr">
        <is>
          <t>2026-04-20</t>
        </is>
      </c>
      <c r="B25" t="inlineStr">
        <is>
          <t>13:00</t>
        </is>
      </c>
      <c r="C25" t="n">
        <v>1</v>
      </c>
      <c r="D25" t="n">
        <v>1</v>
      </c>
      <c r="E25" t="n">
        <v>0</v>
      </c>
      <c r="F25" t="n">
        <v>0</v>
      </c>
      <c r="G25" t="n">
        <v>100</v>
      </c>
    </row>
    <row r="26">
      <c r="A26" t="inlineStr">
        <is>
          <t>2026-04-20</t>
        </is>
      </c>
      <c r="B26" t="inlineStr">
        <is>
          <t>13:01</t>
        </is>
      </c>
      <c r="C26" t="n">
        <v>2</v>
      </c>
      <c r="D26" t="n">
        <v>0</v>
      </c>
      <c r="E26" t="n">
        <v>2</v>
      </c>
      <c r="F26" t="n">
        <v>0</v>
      </c>
      <c r="G26" t="n">
        <v>0</v>
      </c>
    </row>
    <row r="27">
      <c r="A27" t="inlineStr">
        <is>
          <t>2026-04-20</t>
        </is>
      </c>
      <c r="B27" t="inlineStr">
        <is>
          <t>13:31</t>
        </is>
      </c>
      <c r="C27" t="n">
        <v>5</v>
      </c>
      <c r="D27" t="n">
        <v>0</v>
      </c>
      <c r="E27" t="n">
        <v>3</v>
      </c>
      <c r="F27" t="n">
        <v>2</v>
      </c>
      <c r="G27" t="n">
        <v>0</v>
      </c>
    </row>
    <row r="28">
      <c r="A28" t="inlineStr">
        <is>
          <t>2026-04-20</t>
        </is>
      </c>
      <c r="B28" t="inlineStr">
        <is>
          <t>13:57</t>
        </is>
      </c>
      <c r="C28" t="n">
        <v>1</v>
      </c>
      <c r="D28" t="n">
        <v>0</v>
      </c>
      <c r="E28" t="n">
        <v>1</v>
      </c>
      <c r="F28" t="n">
        <v>0</v>
      </c>
      <c r="G28" t="n">
        <v>0</v>
      </c>
    </row>
    <row r="29">
      <c r="A29" t="inlineStr">
        <is>
          <t>2026-04-20</t>
        </is>
      </c>
      <c r="B29" t="inlineStr">
        <is>
          <t>14:01</t>
        </is>
      </c>
      <c r="C29" t="n">
        <v>2</v>
      </c>
      <c r="D29" t="n">
        <v>0</v>
      </c>
      <c r="E29" t="n">
        <v>1</v>
      </c>
      <c r="F29" t="n">
        <v>1</v>
      </c>
      <c r="G29" t="n">
        <v>0</v>
      </c>
    </row>
    <row r="30">
      <c r="A30" t="inlineStr">
        <is>
          <t>2026-04-20</t>
        </is>
      </c>
      <c r="B30" t="inlineStr">
        <is>
          <t>14:28</t>
        </is>
      </c>
      <c r="C30" t="n">
        <v>7</v>
      </c>
      <c r="D30" t="n">
        <v>3</v>
      </c>
      <c r="E30" t="n">
        <v>1</v>
      </c>
      <c r="F30" t="n">
        <v>3</v>
      </c>
      <c r="G30" t="n">
        <v>75</v>
      </c>
    </row>
    <row r="31">
      <c r="A31" t="inlineStr">
        <is>
          <t>2026-04-20</t>
        </is>
      </c>
      <c r="B31" t="inlineStr">
        <is>
          <t>14:31</t>
        </is>
      </c>
      <c r="C31" t="n">
        <v>6</v>
      </c>
      <c r="D31" t="n">
        <v>0</v>
      </c>
      <c r="E31" t="n">
        <v>2</v>
      </c>
      <c r="F31" t="n">
        <v>4</v>
      </c>
      <c r="G31" t="n">
        <v>0</v>
      </c>
    </row>
    <row r="32">
      <c r="A32" t="inlineStr">
        <is>
          <t>2026-04-20</t>
        </is>
      </c>
      <c r="B32" t="inlineStr">
        <is>
          <t>14:42</t>
        </is>
      </c>
      <c r="C32" t="n">
        <v>2</v>
      </c>
      <c r="D32" t="n">
        <v>0</v>
      </c>
      <c r="E32" t="n">
        <v>1</v>
      </c>
      <c r="F32" t="n">
        <v>1</v>
      </c>
      <c r="G32" t="n">
        <v>0</v>
      </c>
    </row>
    <row r="33">
      <c r="A33" t="inlineStr">
        <is>
          <t>2026-04-20</t>
        </is>
      </c>
      <c r="B33" t="inlineStr">
        <is>
          <t>15:01</t>
        </is>
      </c>
      <c r="C33" t="n">
        <v>4</v>
      </c>
      <c r="D33" t="n">
        <v>0</v>
      </c>
      <c r="E33" t="n">
        <v>1</v>
      </c>
      <c r="F33" t="n">
        <v>3</v>
      </c>
      <c r="G33" t="n">
        <v>0</v>
      </c>
    </row>
    <row r="34">
      <c r="A34" t="inlineStr">
        <is>
          <t>2026-04-20</t>
        </is>
      </c>
      <c r="B34" t="inlineStr">
        <is>
          <t>15:31</t>
        </is>
      </c>
      <c r="C34" t="n">
        <v>4</v>
      </c>
      <c r="D34" t="n">
        <v>0</v>
      </c>
      <c r="E34" t="n">
        <v>2</v>
      </c>
      <c r="F34" t="n">
        <v>2</v>
      </c>
      <c r="G34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A1:G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4" customWidth="1" style="48" min="1" max="1"/>
    <col width="15" customWidth="1" style="48" min="2" max="2"/>
    <col width="16" customWidth="1" style="48" min="3" max="3"/>
    <col width="13" customWidth="1" style="48" min="4" max="4"/>
    <col width="14" customWidth="1" style="48" min="5" max="5"/>
    <col width="12" customWidth="1" style="48" min="6" max="6"/>
    <col width="13" customWidth="1" style="48" min="7" max="7"/>
  </cols>
  <sheetData>
    <row r="1" ht="30" customHeight="1" s="49">
      <c r="A1" s="50" t="inlineStr">
        <is>
          <t>Metric</t>
        </is>
      </c>
      <c r="B1" s="88" t="inlineStr">
        <is>
          <t>Winners Mean</t>
        </is>
      </c>
      <c r="C1" s="88" t="inlineStr">
        <is>
          <t>Winners Median</t>
        </is>
      </c>
      <c r="D1" s="89" t="inlineStr">
        <is>
          <t>Losers Mean</t>
        </is>
      </c>
      <c r="E1" s="89" t="inlineStr">
        <is>
          <t>Losers Median</t>
        </is>
      </c>
      <c r="F1" s="90" t="inlineStr">
        <is>
          <t>EOD Mean</t>
        </is>
      </c>
      <c r="G1" s="90" t="inlineStr">
        <is>
          <t>EOD Median</t>
        </is>
      </c>
    </row>
    <row r="2" ht="15" customHeight="1" s="49">
      <c r="A2" s="91" t="inlineStr">
        <is>
          <t>Score</t>
        </is>
      </c>
      <c r="B2" s="92">
        <f>IFERROR(AVERAGEIF('Trade Log'!$J:$J,"WIN",'Trade Log'!$I:$I),"-")</f>
        <v/>
      </c>
      <c r="C2" s="93">
        <f>IFERROR(MEDIAN(IF('Trade Log'!$J:$J="WIN",'Trade Log'!$I:$I)),"-")</f>
        <v/>
      </c>
      <c r="D2" s="92">
        <f>IFERROR(AVERAGEIF('Trade Log'!$J:$J,"LOSS",'Trade Log'!$I:$I),"-")</f>
        <v/>
      </c>
      <c r="E2" s="93">
        <f>IFERROR(MEDIAN(IF('Trade Log'!$J:$J="LOSS",'Trade Log'!$I:$I)),"-")</f>
        <v/>
      </c>
      <c r="F2" s="92">
        <f>IFERROR(AVERAGEIF('Trade Log'!$J:$J,"EOD",'Trade Log'!$I:$I),"-")</f>
        <v/>
      </c>
      <c r="G2" s="93">
        <f>IFERROR(MEDIAN(IF('Trade Log'!$J:$J="EOD",'Trade Log'!$I:$I)),"-")</f>
        <v/>
      </c>
    </row>
    <row r="3" ht="15" customHeight="1" s="49">
      <c r="A3" s="82" t="inlineStr">
        <is>
          <t>RVOL</t>
        </is>
      </c>
      <c r="B3" s="94">
        <f>IFERROR(AVERAGEIF('Trade Log'!$J:$J,"WIN",'Trade Log'!$G:$G),"-")</f>
        <v/>
      </c>
      <c r="C3" s="95">
        <f>IFERROR(MEDIAN(IF('Trade Log'!$J:$J="WIN",'Trade Log'!$G:$G)),"-")</f>
        <v/>
      </c>
      <c r="D3" s="94">
        <f>IFERROR(AVERAGEIF('Trade Log'!$J:$J,"LOSS",'Trade Log'!$G:$G),"-")</f>
        <v/>
      </c>
      <c r="E3" s="95">
        <f>IFERROR(MEDIAN(IF('Trade Log'!$J:$J="LOSS",'Trade Log'!$G:$G)),"-")</f>
        <v/>
      </c>
      <c r="F3" s="94">
        <f>IFERROR(AVERAGEIF('Trade Log'!$J:$J,"EOD",'Trade Log'!$G:$G),"-")</f>
        <v/>
      </c>
      <c r="G3" s="95">
        <f>IFERROR(MEDIAN(IF('Trade Log'!$J:$J="EOD",'Trade Log'!$G:$G)),"-")</f>
        <v/>
      </c>
    </row>
    <row r="4" ht="15" customHeight="1" s="49">
      <c r="A4" s="91" t="inlineStr">
        <is>
          <t>RSI</t>
        </is>
      </c>
      <c r="B4" s="92">
        <f>IFERROR(AVERAGEIF('Trade Log'!$J:$J,"WIN",'Trade Log'!$H:$H),"-")</f>
        <v/>
      </c>
      <c r="C4" s="93">
        <f>IFERROR(MEDIAN(IF('Trade Log'!$J:$J="WIN",'Trade Log'!$H:$H)),"-")</f>
        <v/>
      </c>
      <c r="D4" s="92">
        <f>IFERROR(AVERAGEIF('Trade Log'!$J:$J,"LOSS",'Trade Log'!$H:$H),"-")</f>
        <v/>
      </c>
      <c r="E4" s="93">
        <f>IFERROR(MEDIAN(IF('Trade Log'!$J:$J="LOSS",'Trade Log'!$H:$H)),"-")</f>
        <v/>
      </c>
      <c r="F4" s="92">
        <f>IFERROR(AVERAGEIF('Trade Log'!$J:$J,"EOD",'Trade Log'!$H:$H),"-")</f>
        <v/>
      </c>
      <c r="G4" s="93">
        <f>IFERROR(MEDIAN(IF('Trade Log'!$J:$J="EOD",'Trade Log'!$H:$H)),"-")</f>
        <v/>
      </c>
    </row>
    <row r="5" ht="15" customHeight="1" s="49">
      <c r="A5" s="82" t="inlineStr">
        <is>
          <t>P&amp;L $</t>
        </is>
      </c>
      <c r="B5" s="63">
        <f>IFERROR(AVERAGEIF('Trade Log'!$J:$J,"WIN",'Trade Log'!$L:$L),"-")</f>
        <v/>
      </c>
      <c r="C5" s="63">
        <f>IFERROR(MEDIAN(IF('Trade Log'!$J:$J="WIN",'Trade Log'!$L:$L)),"-")</f>
        <v/>
      </c>
      <c r="D5" s="63">
        <f>IFERROR(AVERAGEIF('Trade Log'!$J:$J,"LOSS",'Trade Log'!$L:$L),"-")</f>
        <v/>
      </c>
      <c r="E5" s="63">
        <f>IFERROR(MEDIAN(IF('Trade Log'!$J:$J="LOSS",'Trade Log'!$L:$L)),"-")</f>
        <v/>
      </c>
      <c r="F5" s="63">
        <f>IFERROR(AVERAGEIF('Trade Log'!$J:$J,"EOD",'Trade Log'!$L:$L),"-")</f>
        <v/>
      </c>
      <c r="G5" s="63">
        <f>IFERROR(MEDIAN(IF('Trade Log'!$J:$J="EOD",'Trade Log'!$L:$L)),"-")</f>
        <v/>
      </c>
    </row>
    <row r="6" ht="15" customHeight="1" s="49">
      <c r="A6" s="91" t="inlineStr">
        <is>
          <t>P&amp;L %</t>
        </is>
      </c>
      <c r="B6" s="96">
        <f>IFERROR(AVERAGEIF('Trade Log'!$J:$J,"WIN",'Trade Log'!$M:$M),"-")</f>
        <v/>
      </c>
      <c r="C6" s="96">
        <f>IFERROR(MEDIAN(IF('Trade Log'!$J:$J="WIN",'Trade Log'!$M:$M)),"-")</f>
        <v/>
      </c>
      <c r="D6" s="96">
        <f>IFERROR(AVERAGEIF('Trade Log'!$J:$J,"LOSS",'Trade Log'!$M:$M),"-")</f>
        <v/>
      </c>
      <c r="E6" s="96">
        <f>IFERROR(MEDIAN(IF('Trade Log'!$J:$J="LOSS",'Trade Log'!$M:$M)),"-")</f>
        <v/>
      </c>
      <c r="F6" s="96">
        <f>IFERROR(AVERAGEIF('Trade Log'!$J:$J,"EOD",'Trade Log'!$M:$M),"-")</f>
        <v/>
      </c>
      <c r="G6" s="96">
        <f>IFERROR(MEDIAN(IF('Trade Log'!$J:$J="EOD",'Trade Log'!$M:$M)),"-")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2026-04-16T21:58:42Z</dcterms:created>
  <dcterms:modified xmlns:dcterms="http://purl.org/dc/terms/" xmlns:xsi="http://www.w3.org/2001/XMLSchema-instance" xsi:type="dcterms:W3CDTF">2026-04-20T20:58:46Z</dcterms:modified>
  <cp:revision>0</cp:revision>
</cp:coreProperties>
</file>